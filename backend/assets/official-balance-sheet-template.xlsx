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updateLinks="never"/>
  <mc:AlternateContent xmlns:mc="http://schemas.openxmlformats.org/markup-compatibility/2006">
    <mc:Choice Requires="x15">
      <x15ac:absPath xmlns:x15ac="http://schemas.microsoft.com/office/spreadsheetml/2010/11/ac" url="C:\Users\iefnu\Documents\mvp\"/>
    </mc:Choice>
  </mc:AlternateContent>
  <xr:revisionPtr revIDLastSave="0" documentId="13_ncr:1_{71ED3E13-54E0-4F23-A0C8-FAB5472DB669}" xr6:coauthVersionLast="47" xr6:coauthVersionMax="47" xr10:uidLastSave="{00000000-0000-0000-0000-000000000000}"/>
  <bookViews>
    <workbookView xWindow="-110" yWindow="-110" windowWidth="25820" windowHeight="15500" xr2:uid="{307C4DAD-960D-47EC-A9FC-71B1814409DE}"/>
  </bookViews>
  <sheets>
    <sheet name="资产负债表" sheetId="1" r:id="rId1"/>
    <sheet name="一般企业_已执行" sheetId="2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H20" i="1"/>
  <c r="I20" i="1"/>
  <c r="H32" i="1"/>
  <c r="I32" i="1"/>
  <c r="H33" i="1"/>
  <c r="I33" i="1"/>
  <c r="D40" i="1"/>
  <c r="E40" i="1"/>
  <c r="H45" i="1"/>
  <c r="H46" i="1" s="1"/>
  <c r="I45" i="1"/>
  <c r="I46" i="1" s="1"/>
  <c r="D46" i="1"/>
  <c r="E46" i="1"/>
</calcChain>
</file>

<file path=xl/sharedStrings.xml><?xml version="1.0" encoding="utf-8"?>
<sst xmlns="http://schemas.openxmlformats.org/spreadsheetml/2006/main" count="91" uniqueCount="86">
  <si>
    <t>资产负债表（适用已执行新金融准则、新收入准则和新租赁准则的一般企业）</t>
  </si>
  <si>
    <t>会企01表   单位：元</t>
  </si>
  <si>
    <t>纳税人识别号</t>
  </si>
  <si>
    <t>纳税人名称</t>
  </si>
  <si>
    <t>所属期起</t>
  </si>
  <si>
    <t>所属期止</t>
  </si>
  <si>
    <t>资产</t>
  </si>
  <si>
    <t>行次</t>
  </si>
  <si>
    <t>期末余额</t>
  </si>
  <si>
    <t>上年年末余额</t>
  </si>
  <si>
    <t>负债和所有者权益（或股东权益）</t>
  </si>
  <si>
    <t>流动资产：</t>
  </si>
  <si>
    <t>流动负债：</t>
  </si>
  <si>
    <t>货币资金</t>
  </si>
  <si>
    <t>短期借款</t>
  </si>
  <si>
    <t>交易性金融资产</t>
  </si>
  <si>
    <t>交易性金融负债</t>
  </si>
  <si>
    <t>衍生金融资产</t>
  </si>
  <si>
    <t>衍生金融负债</t>
  </si>
  <si>
    <t>应收票据</t>
  </si>
  <si>
    <t>应付票据</t>
  </si>
  <si>
    <t>应收账款</t>
  </si>
  <si>
    <t>应付账款</t>
  </si>
  <si>
    <t>应收款项融资</t>
  </si>
  <si>
    <t>预收款项</t>
  </si>
  <si>
    <t>预付款项</t>
  </si>
  <si>
    <t>合同负债</t>
  </si>
  <si>
    <t>其他应收款</t>
  </si>
  <si>
    <t>应付职工薪酬</t>
  </si>
  <si>
    <t>存货</t>
  </si>
  <si>
    <t>应交税费</t>
  </si>
  <si>
    <t>合同资产</t>
  </si>
  <si>
    <t>其他应付款</t>
  </si>
  <si>
    <t>持有待售资产</t>
  </si>
  <si>
    <t>持有待售负债</t>
  </si>
  <si>
    <t>一年内到期的非流动资产</t>
  </si>
  <si>
    <t>一年内到期的非流动负债</t>
  </si>
  <si>
    <t>其他流动资产</t>
  </si>
  <si>
    <t>其他流动负债</t>
  </si>
  <si>
    <t>流动资产合计</t>
  </si>
  <si>
    <t>流动负债合计</t>
  </si>
  <si>
    <t>非流动资产：</t>
  </si>
  <si>
    <t>非流动负债：</t>
  </si>
  <si>
    <t>债权投资</t>
  </si>
  <si>
    <t>长期借款</t>
  </si>
  <si>
    <t>其他债权投资</t>
  </si>
  <si>
    <t>应付债券</t>
  </si>
  <si>
    <t>长期应收款</t>
  </si>
  <si>
    <t xml:space="preserve">  其中：优先股</t>
  </si>
  <si>
    <t>长期股权投资</t>
  </si>
  <si>
    <t xml:space="preserve">        永续债</t>
  </si>
  <si>
    <t>其他权益工具投资</t>
  </si>
  <si>
    <t>租赁负债</t>
  </si>
  <si>
    <t>其他非流动金融资产</t>
  </si>
  <si>
    <t>长期应付款</t>
  </si>
  <si>
    <t>投资性房地产</t>
  </si>
  <si>
    <t>预计负债</t>
  </si>
  <si>
    <t>固定资产</t>
  </si>
  <si>
    <t>递延收益</t>
  </si>
  <si>
    <t>在建工程</t>
  </si>
  <si>
    <t>递延所得税负债</t>
  </si>
  <si>
    <t>生产性生物资产</t>
  </si>
  <si>
    <t>其他非流动负债</t>
  </si>
  <si>
    <t>油气资产</t>
  </si>
  <si>
    <t>非流动负债合计</t>
  </si>
  <si>
    <t>使用权资产</t>
  </si>
  <si>
    <t>负债合计</t>
  </si>
  <si>
    <t>无形资产</t>
  </si>
  <si>
    <t>所有者权益（或股东权益）：</t>
  </si>
  <si>
    <t>开发支出</t>
  </si>
  <si>
    <t>实收资本（或股本）</t>
  </si>
  <si>
    <t>商誉</t>
  </si>
  <si>
    <t>其他权益工具</t>
  </si>
  <si>
    <t>长期待摊费用</t>
  </si>
  <si>
    <t>递延所得税资产</t>
  </si>
  <si>
    <t>其他非流动资产</t>
  </si>
  <si>
    <t>资本公积</t>
  </si>
  <si>
    <t>非流动资产合计</t>
  </si>
  <si>
    <t>减：库存股</t>
  </si>
  <si>
    <t>其他综合收益</t>
  </si>
  <si>
    <t>专项储备</t>
  </si>
  <si>
    <t>盈余公积</t>
  </si>
  <si>
    <t>未分配利润</t>
  </si>
  <si>
    <t>所有者权益（或股东权益）合计</t>
  </si>
  <si>
    <t>资产总计</t>
  </si>
  <si>
    <t>负债和所有者权益（或股东权益）总计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</si>
</sst>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0.00_ "/>
  </numFmts>
  <fonts count="19">
    <font>
      <sz val="11"/>
      <name val="宋体"/>
      <charset val="134"/>
    </font>
    <font>
      <b/>
      <sz val="14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49"/>
      <name val="宋体"/>
      <charset val="134"/>
    </font>
    <font>
      <b/>
      <sz val="15"/>
      <color indexed="49"/>
      <name val="宋体"/>
      <charset val="134"/>
    </font>
    <font>
      <b/>
      <sz val="13"/>
      <color indexed="49"/>
      <name val="宋体"/>
      <charset val="134"/>
    </font>
    <font>
      <b/>
      <sz val="11"/>
      <color indexed="49"/>
      <name val="宋体"/>
      <charset val="134"/>
    </font>
    <font>
      <sz val="11"/>
      <color indexed="54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</font>
    <font>
      <sz val="11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4">
    <xf numFmtId="0" fontId="0" fillId="0" borderId="0"/>
    <xf numFmtId="0" fontId="16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0" borderId="0"/>
    <xf numFmtId="0" fontId="16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/>
    <xf numFmtId="0" fontId="17" fillId="0" borderId="0"/>
    <xf numFmtId="0" fontId="18" fillId="0" borderId="0"/>
    <xf numFmtId="0" fontId="10" fillId="0" borderId="8" applyNumberFormat="0" applyFill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8" fillId="2" borderId="1" applyNumberFormat="0" applyFont="0" applyAlignment="0" applyProtection="0">
      <alignment vertical="center"/>
    </xf>
  </cellStyleXfs>
  <cellXfs count="44">
    <xf numFmtId="0" fontId="0" fillId="0" borderId="0" xfId="0"/>
    <xf numFmtId="0" fontId="0" fillId="15" borderId="0" xfId="0" applyFill="1"/>
    <xf numFmtId="0" fontId="2" fillId="15" borderId="0" xfId="0" applyFont="1" applyFill="1" applyAlignment="1">
      <alignment horizontal="center" vertical="center"/>
    </xf>
    <xf numFmtId="0" fontId="2" fillId="8" borderId="2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21" xfId="0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165" fontId="2" fillId="0" borderId="12" xfId="0" applyNumberFormat="1" applyFont="1" applyBorder="1" applyAlignment="1" applyProtection="1">
      <alignment horizontal="right" vertical="center" wrapText="1"/>
      <protection locked="0"/>
    </xf>
    <xf numFmtId="0" fontId="2" fillId="8" borderId="12" xfId="0" applyFont="1" applyFill="1" applyBorder="1" applyAlignment="1">
      <alignment horizontal="left" vertical="center" wrapText="1"/>
    </xf>
    <xf numFmtId="165" fontId="2" fillId="8" borderId="12" xfId="0" applyNumberFormat="1" applyFont="1" applyFill="1" applyBorder="1" applyAlignment="1">
      <alignment horizontal="right" vertical="center" wrapText="1"/>
    </xf>
    <xf numFmtId="0" fontId="2" fillId="8" borderId="12" xfId="0" applyFont="1" applyFill="1" applyBorder="1" applyAlignment="1">
      <alignment horizontal="right" vertical="center" wrapText="1"/>
    </xf>
    <xf numFmtId="0" fontId="2" fillId="8" borderId="21" xfId="0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23" xfId="0" applyFont="1" applyFill="1" applyBorder="1" applyAlignment="1">
      <alignment horizontal="center" vertical="center" wrapText="1"/>
    </xf>
    <xf numFmtId="165" fontId="2" fillId="8" borderId="15" xfId="0" applyNumberFormat="1" applyFont="1" applyFill="1" applyBorder="1" applyAlignment="1">
      <alignment horizontal="right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15" borderId="0" xfId="0" applyFont="1" applyFill="1" applyAlignment="1">
      <alignment horizontal="right" vertical="center"/>
    </xf>
    <xf numFmtId="0" fontId="3" fillId="8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165" fontId="2" fillId="0" borderId="13" xfId="0" applyNumberFormat="1" applyFont="1" applyBorder="1" applyAlignment="1" applyProtection="1">
      <alignment horizontal="right" vertical="center" wrapText="1"/>
      <protection locked="0"/>
    </xf>
    <xf numFmtId="165" fontId="2" fillId="8" borderId="13" xfId="0" applyNumberFormat="1" applyFont="1" applyFill="1" applyBorder="1" applyAlignment="1">
      <alignment horizontal="right" vertical="center" wrapText="1"/>
    </xf>
    <xf numFmtId="0" fontId="2" fillId="8" borderId="13" xfId="0" applyFont="1" applyFill="1" applyBorder="1" applyAlignment="1">
      <alignment horizontal="right" vertical="center" wrapText="1"/>
    </xf>
    <xf numFmtId="165" fontId="2" fillId="8" borderId="16" xfId="0" applyNumberFormat="1" applyFont="1" applyFill="1" applyBorder="1" applyAlignment="1">
      <alignment horizontal="right" vertical="center" wrapText="1"/>
    </xf>
    <xf numFmtId="0" fontId="1" fillId="15" borderId="0" xfId="0" applyFont="1" applyFill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 applyProtection="1">
      <alignment horizontal="left" vertical="center" wrapText="1"/>
      <protection locked="0"/>
    </xf>
    <xf numFmtId="0" fontId="2" fillId="8" borderId="19" xfId="0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2" fillId="8" borderId="20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 applyProtection="1">
      <alignment horizontal="left" vertical="center" wrapText="1"/>
      <protection locked="0"/>
    </xf>
    <xf numFmtId="14" fontId="2" fillId="8" borderId="22" xfId="0" applyNumberFormat="1" applyFont="1" applyFill="1" applyBorder="1" applyAlignment="1">
      <alignment horizontal="center" vertical="center" wrapText="1"/>
    </xf>
    <xf numFmtId="14" fontId="2" fillId="8" borderId="21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 applyProtection="1">
      <alignment horizontal="left" vertical="center" wrapText="1"/>
      <protection locked="0"/>
    </xf>
  </cellXfs>
  <cellStyles count="34">
    <cellStyle name="20% - 强调文字颜色 1 2" xfId="1" xr:uid="{5330DE91-E82E-474E-B292-F7099382FD43}"/>
    <cellStyle name="20% - 强调文字颜色 2 2" xfId="11" xr:uid="{631A9385-7B5B-4F9E-9B3D-4C7B459053DE}"/>
    <cellStyle name="20% - 强调文字颜色 4 2" xfId="13" xr:uid="{68F7E4C6-461F-4292-A5E6-A3FE8D7F2E34}"/>
    <cellStyle name="20% - 强调文字颜色 6 2" xfId="14" xr:uid="{41B3DE38-AB6D-4362-BDFB-FD38ADB506C7}"/>
    <cellStyle name="40% - 强调文字颜色 1 2" xfId="5" xr:uid="{BA9EA6A4-6D3F-441F-B690-9B92B615566A}"/>
    <cellStyle name="40% - 强调文字颜色 4 2" xfId="4" xr:uid="{75F3A4D9-DF41-4767-8F77-1487CF009FBB}"/>
    <cellStyle name="40% - 强调文字颜色 5 2" xfId="7" xr:uid="{7F5623FA-CC46-4F61-AD74-622446A0F81A}"/>
    <cellStyle name="40% - 强调文字颜色 6 2" xfId="10" xr:uid="{A861EB9E-6F5B-43CC-91DB-CEE9D367A6B4}"/>
    <cellStyle name="60% - 强调文字颜色 1 2" xfId="16" xr:uid="{DC911AE9-36B7-4624-82BE-7C8CC8947796}"/>
    <cellStyle name="60% - 强调文字颜色 4 2" xfId="8" xr:uid="{9972F207-29C9-40F4-B379-E36C95957B22}"/>
    <cellStyle name="60% - 强调文字颜色 5 2" xfId="2" xr:uid="{CB8975BA-B868-4296-985A-236AF405EF7D}"/>
    <cellStyle name="60% - 强调文字颜色 6 2" xfId="17" xr:uid="{0CB3A40C-B188-45F6-AF19-08479C5A38F9}"/>
    <cellStyle name="常规" xfId="0" builtinId="0"/>
    <cellStyle name="常规 2" xfId="21" xr:uid="{FD90E266-02EF-486A-8DEC-DB29E3DF9D28}"/>
    <cellStyle name="常规 3" xfId="12" xr:uid="{E4F6B9D0-AF4C-4E55-8667-FA71901ECEB5}"/>
    <cellStyle name="常规 4" xfId="22" xr:uid="{8C175204-2A27-4DB2-8E58-0E1478FDB055}"/>
    <cellStyle name="常规 5" xfId="23" xr:uid="{DB49FDB0-2976-4135-8566-896DDBC2720B}"/>
    <cellStyle name="强调文字颜色 1 2" xfId="27" xr:uid="{65C8FF01-8EC3-4600-BA94-77C926D5EFD0}"/>
    <cellStyle name="强调文字颜色 3 2" xfId="28" xr:uid="{27C46E13-CDF3-4416-99E1-0C2D2E485AC4}"/>
    <cellStyle name="强调文字颜色 4 2" xfId="29" xr:uid="{D7DED83F-59EA-42DD-9F18-33741D279046}"/>
    <cellStyle name="强调文字颜色 5 2" xfId="30" xr:uid="{1BCC7C63-1A8E-4739-A18C-EFA19EF0A4FF}"/>
    <cellStyle name="强调文字颜色 6 2" xfId="31" xr:uid="{B89412B7-9247-4E87-BB79-C58DEE70CC66}"/>
    <cellStyle name="标题 1 2" xfId="6" xr:uid="{1A0A7CD4-24A6-43B3-AEFD-27A9C186511E}"/>
    <cellStyle name="标题 2 2" xfId="18" xr:uid="{7D08A020-0818-4E57-A8DE-96E1234ACA43}"/>
    <cellStyle name="标题 3 2" xfId="15" xr:uid="{7E539219-6C39-466D-95AD-5C2EA9CC50B8}"/>
    <cellStyle name="标题 4 2" xfId="19" xr:uid="{366BFCAB-C12C-4C24-AC78-4BC85370FE2D}"/>
    <cellStyle name="标题 5" xfId="20" xr:uid="{D55CA939-CACD-4280-8D2E-3A4F8235326D}"/>
    <cellStyle name="检查单元格 2" xfId="25" xr:uid="{9A825633-06F6-4727-8B75-53B3BBD1F261}"/>
    <cellStyle name="汇总 2" xfId="24" xr:uid="{8FF55E65-B863-48DE-ABCF-879C23C10C28}"/>
    <cellStyle name="注释 2" xfId="33" xr:uid="{E66921D7-B49D-4E63-B6D8-4ECC1C531D0A}"/>
    <cellStyle name="计算 2" xfId="3" xr:uid="{AAFEFC86-DC44-4F61-81BD-DFAF79A2D620}"/>
    <cellStyle name="输入 2" xfId="32" xr:uid="{697D8D14-99AC-4493-ACD5-CDE79506CC1B}"/>
    <cellStyle name="适中 2" xfId="9" xr:uid="{7CBB8EB2-B829-4D11-9858-B4AA8E6BC2C4}"/>
    <cellStyle name="链接单元格 2" xfId="26" xr:uid="{9B40B72D-1CE8-43B0-B4D7-4CA2EF8105E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E0E0"/>
      <rgbColor rgb="00993300"/>
      <rgbColor rgb="00A0A0A0"/>
      <rgbColor rgb="00B4B4B4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5C9A-4A7A-4976-B9AB-CEFBEA163E15}">
  <sheetPr>
    <pageSetUpPr autoPageBreaks="0"/>
  </sheetPr>
  <dimension ref="A1:J47"/>
  <sheetViews>
    <sheetView showGridLines="0" tabSelected="1" workbookViewId="0">
      <selection activeCell="D3" sqref="D3:E3"/>
    </sheetView>
  </sheetViews>
  <sheetFormatPr defaultColWidth="8.7265625" defaultRowHeight="14.25" customHeight="1"/>
  <cols>
    <col min="1" max="1" width="5" customWidth="1"/>
    <col min="2" max="2" width="15.6328125" customWidth="1"/>
    <col min="3" max="3" width="5.6328125" customWidth="1"/>
    <col min="4" max="5" width="20.6328125" customWidth="1"/>
    <col min="6" max="6" width="17.08984375" customWidth="1"/>
    <col min="7" max="7" width="5.6328125" customWidth="1"/>
    <col min="8" max="9" width="20.6328125" customWidth="1"/>
    <col min="10" max="10" width="5" customWidth="1"/>
  </cols>
  <sheetData>
    <row r="1" spans="1:10" ht="36.75" customHeight="1">
      <c r="A1" s="1"/>
      <c r="B1" s="31" t="s">
        <v>0</v>
      </c>
      <c r="C1" s="31"/>
      <c r="D1" s="31"/>
      <c r="E1" s="31"/>
      <c r="F1" s="31"/>
      <c r="G1" s="31"/>
      <c r="H1" s="31"/>
      <c r="I1" s="31"/>
      <c r="J1" s="1"/>
    </row>
    <row r="2" spans="1:10" ht="22.5" customHeight="1">
      <c r="A2" s="1"/>
      <c r="B2" s="1"/>
      <c r="C2" s="1"/>
      <c r="D2" s="1"/>
      <c r="E2" s="1"/>
      <c r="F2" s="1"/>
      <c r="G2" s="1"/>
      <c r="H2" s="2"/>
      <c r="I2" s="24" t="s">
        <v>1</v>
      </c>
      <c r="J2" s="1"/>
    </row>
    <row r="3" spans="1:10" ht="28" customHeight="1">
      <c r="A3" s="1"/>
      <c r="B3" s="32" t="s">
        <v>2</v>
      </c>
      <c r="C3" s="33"/>
      <c r="D3" s="34"/>
      <c r="E3" s="34"/>
      <c r="F3" s="35" t="s">
        <v>3</v>
      </c>
      <c r="G3" s="33"/>
      <c r="H3" s="36"/>
      <c r="I3" s="37"/>
      <c r="J3" s="1"/>
    </row>
    <row r="4" spans="1:10" ht="28" customHeight="1">
      <c r="A4" s="1"/>
      <c r="B4" s="38" t="s">
        <v>4</v>
      </c>
      <c r="C4" s="39"/>
      <c r="D4" s="40"/>
      <c r="E4" s="40"/>
      <c r="F4" s="41" t="s">
        <v>5</v>
      </c>
      <c r="G4" s="42"/>
      <c r="H4" s="40"/>
      <c r="I4" s="43"/>
      <c r="J4" s="1"/>
    </row>
    <row r="5" spans="1:10" ht="28" customHeight="1">
      <c r="A5" s="1"/>
      <c r="B5" s="4" t="s">
        <v>6</v>
      </c>
      <c r="C5" s="5" t="s">
        <v>7</v>
      </c>
      <c r="D5" s="6" t="s">
        <v>8</v>
      </c>
      <c r="E5" s="6" t="s">
        <v>9</v>
      </c>
      <c r="F5" s="6" t="s">
        <v>10</v>
      </c>
      <c r="G5" s="6" t="s">
        <v>7</v>
      </c>
      <c r="H5" s="6" t="s">
        <v>8</v>
      </c>
      <c r="I5" s="25" t="s">
        <v>9</v>
      </c>
      <c r="J5" s="1"/>
    </row>
    <row r="6" spans="1:10" ht="28" customHeight="1">
      <c r="A6" s="1"/>
      <c r="B6" s="7" t="s">
        <v>11</v>
      </c>
      <c r="C6" s="8"/>
      <c r="D6" s="9"/>
      <c r="E6" s="9"/>
      <c r="F6" s="10" t="s">
        <v>12</v>
      </c>
      <c r="G6" s="10"/>
      <c r="H6" s="9"/>
      <c r="I6" s="26"/>
      <c r="J6" s="1"/>
    </row>
    <row r="7" spans="1:10" ht="28" customHeight="1">
      <c r="A7" s="1"/>
      <c r="B7" s="11" t="s">
        <v>13</v>
      </c>
      <c r="C7" s="3">
        <v>1</v>
      </c>
      <c r="D7" s="12">
        <v>0</v>
      </c>
      <c r="E7" s="12">
        <v>0</v>
      </c>
      <c r="F7" s="13" t="s">
        <v>14</v>
      </c>
      <c r="G7" s="9">
        <v>35</v>
      </c>
      <c r="H7" s="12">
        <v>0</v>
      </c>
      <c r="I7" s="27">
        <v>0</v>
      </c>
      <c r="J7" s="1"/>
    </row>
    <row r="8" spans="1:10" ht="28" customHeight="1">
      <c r="A8" s="1"/>
      <c r="B8" s="11" t="s">
        <v>15</v>
      </c>
      <c r="C8" s="3">
        <v>2</v>
      </c>
      <c r="D8" s="12">
        <v>0</v>
      </c>
      <c r="E8" s="12">
        <v>0</v>
      </c>
      <c r="F8" s="13" t="s">
        <v>16</v>
      </c>
      <c r="G8" s="9">
        <v>36</v>
      </c>
      <c r="H8" s="12">
        <v>0</v>
      </c>
      <c r="I8" s="27">
        <v>0</v>
      </c>
      <c r="J8" s="1"/>
    </row>
    <row r="9" spans="1:10" ht="28" customHeight="1">
      <c r="A9" s="1"/>
      <c r="B9" s="11" t="s">
        <v>17</v>
      </c>
      <c r="C9" s="3">
        <v>3</v>
      </c>
      <c r="D9" s="12">
        <v>0</v>
      </c>
      <c r="E9" s="12">
        <v>0</v>
      </c>
      <c r="F9" s="13" t="s">
        <v>18</v>
      </c>
      <c r="G9" s="9">
        <v>37</v>
      </c>
      <c r="H9" s="12">
        <v>0</v>
      </c>
      <c r="I9" s="27">
        <v>0</v>
      </c>
      <c r="J9" s="1"/>
    </row>
    <row r="10" spans="1:10" ht="28" customHeight="1">
      <c r="A10" s="1"/>
      <c r="B10" s="11" t="s">
        <v>19</v>
      </c>
      <c r="C10" s="3">
        <v>4</v>
      </c>
      <c r="D10" s="12">
        <v>0</v>
      </c>
      <c r="E10" s="12">
        <v>0</v>
      </c>
      <c r="F10" s="13" t="s">
        <v>20</v>
      </c>
      <c r="G10" s="9">
        <v>38</v>
      </c>
      <c r="H10" s="12">
        <v>0</v>
      </c>
      <c r="I10" s="27">
        <v>0</v>
      </c>
      <c r="J10" s="1"/>
    </row>
    <row r="11" spans="1:10" ht="28" customHeight="1">
      <c r="A11" s="1"/>
      <c r="B11" s="11" t="s">
        <v>21</v>
      </c>
      <c r="C11" s="3">
        <v>5</v>
      </c>
      <c r="D11" s="12">
        <v>0</v>
      </c>
      <c r="E11" s="12">
        <v>0</v>
      </c>
      <c r="F11" s="13" t="s">
        <v>22</v>
      </c>
      <c r="G11" s="9">
        <v>39</v>
      </c>
      <c r="H11" s="12">
        <v>0</v>
      </c>
      <c r="I11" s="27">
        <v>0</v>
      </c>
      <c r="J11" s="1"/>
    </row>
    <row r="12" spans="1:10" ht="28" customHeight="1">
      <c r="A12" s="1"/>
      <c r="B12" s="11" t="s">
        <v>23</v>
      </c>
      <c r="C12" s="3">
        <v>6</v>
      </c>
      <c r="D12" s="12">
        <v>0</v>
      </c>
      <c r="E12" s="12">
        <v>0</v>
      </c>
      <c r="F12" s="13" t="s">
        <v>24</v>
      </c>
      <c r="G12" s="9">
        <v>40</v>
      </c>
      <c r="H12" s="12">
        <v>0</v>
      </c>
      <c r="I12" s="27">
        <v>0</v>
      </c>
      <c r="J12" s="1"/>
    </row>
    <row r="13" spans="1:10" ht="28" customHeight="1">
      <c r="A13" s="1"/>
      <c r="B13" s="11" t="s">
        <v>25</v>
      </c>
      <c r="C13" s="3">
        <v>7</v>
      </c>
      <c r="D13" s="12">
        <v>0</v>
      </c>
      <c r="E13" s="12">
        <v>0</v>
      </c>
      <c r="F13" s="13" t="s">
        <v>26</v>
      </c>
      <c r="G13" s="9">
        <v>41</v>
      </c>
      <c r="H13" s="12">
        <v>0</v>
      </c>
      <c r="I13" s="27">
        <v>0</v>
      </c>
      <c r="J13" s="1"/>
    </row>
    <row r="14" spans="1:10" ht="28" customHeight="1">
      <c r="A14" s="1"/>
      <c r="B14" s="11" t="s">
        <v>27</v>
      </c>
      <c r="C14" s="3">
        <v>8</v>
      </c>
      <c r="D14" s="12">
        <v>0</v>
      </c>
      <c r="E14" s="12">
        <v>0</v>
      </c>
      <c r="F14" s="13" t="s">
        <v>28</v>
      </c>
      <c r="G14" s="9">
        <v>42</v>
      </c>
      <c r="H14" s="12">
        <v>0</v>
      </c>
      <c r="I14" s="27">
        <v>0</v>
      </c>
      <c r="J14" s="1"/>
    </row>
    <row r="15" spans="1:10" ht="28" customHeight="1">
      <c r="A15" s="1"/>
      <c r="B15" s="11" t="s">
        <v>29</v>
      </c>
      <c r="C15" s="3">
        <v>9</v>
      </c>
      <c r="D15" s="12">
        <v>0</v>
      </c>
      <c r="E15" s="12">
        <v>0</v>
      </c>
      <c r="F15" s="13" t="s">
        <v>30</v>
      </c>
      <c r="G15" s="9">
        <v>43</v>
      </c>
      <c r="H15" s="12">
        <v>0</v>
      </c>
      <c r="I15" s="27">
        <v>0</v>
      </c>
      <c r="J15" s="1"/>
    </row>
    <row r="16" spans="1:10" ht="28" customHeight="1">
      <c r="A16" s="1"/>
      <c r="B16" s="11" t="s">
        <v>31</v>
      </c>
      <c r="C16" s="3">
        <v>10</v>
      </c>
      <c r="D16" s="12">
        <v>0</v>
      </c>
      <c r="E16" s="12">
        <v>0</v>
      </c>
      <c r="F16" s="13" t="s">
        <v>32</v>
      </c>
      <c r="G16" s="9">
        <v>44</v>
      </c>
      <c r="H16" s="12">
        <v>0</v>
      </c>
      <c r="I16" s="27">
        <v>0</v>
      </c>
      <c r="J16" s="1"/>
    </row>
    <row r="17" spans="1:10" ht="28" customHeight="1">
      <c r="A17" s="1"/>
      <c r="B17" s="11" t="s">
        <v>33</v>
      </c>
      <c r="C17" s="3">
        <v>11</v>
      </c>
      <c r="D17" s="12">
        <v>0</v>
      </c>
      <c r="E17" s="12">
        <v>0</v>
      </c>
      <c r="F17" s="13" t="s">
        <v>34</v>
      </c>
      <c r="G17" s="9">
        <v>45</v>
      </c>
      <c r="H17" s="12">
        <v>0</v>
      </c>
      <c r="I17" s="27">
        <v>0</v>
      </c>
      <c r="J17" s="1"/>
    </row>
    <row r="18" spans="1:10" ht="28" customHeight="1">
      <c r="A18" s="1"/>
      <c r="B18" s="11" t="s">
        <v>35</v>
      </c>
      <c r="C18" s="3">
        <v>12</v>
      </c>
      <c r="D18" s="12">
        <v>0</v>
      </c>
      <c r="E18" s="12">
        <v>0</v>
      </c>
      <c r="F18" s="13" t="s">
        <v>36</v>
      </c>
      <c r="G18" s="9">
        <v>46</v>
      </c>
      <c r="H18" s="12">
        <v>0</v>
      </c>
      <c r="I18" s="27">
        <v>0</v>
      </c>
      <c r="J18" s="1"/>
    </row>
    <row r="19" spans="1:10" ht="28" customHeight="1">
      <c r="A19" s="1"/>
      <c r="B19" s="11" t="s">
        <v>37</v>
      </c>
      <c r="C19" s="3">
        <v>13</v>
      </c>
      <c r="D19" s="12">
        <v>0</v>
      </c>
      <c r="E19" s="12">
        <v>0</v>
      </c>
      <c r="F19" s="13" t="s">
        <v>38</v>
      </c>
      <c r="G19" s="9">
        <v>47</v>
      </c>
      <c r="H19" s="12">
        <v>0</v>
      </c>
      <c r="I19" s="27">
        <v>0</v>
      </c>
      <c r="J19" s="1"/>
    </row>
    <row r="20" spans="1:10" ht="28" customHeight="1">
      <c r="A20" s="1"/>
      <c r="B20" s="11" t="s">
        <v>39</v>
      </c>
      <c r="C20" s="3">
        <v>14</v>
      </c>
      <c r="D20" s="14">
        <f>ROUND(资产负债表!D7+资产负债表!D8+资产负债表!D10+资产负债表!D11+资产负债表!D12+资产负债表!D13+资产负债表!D14+资产负债表!D15+资产负债表!D16+资产负债表!D18+资产负债表!D19+资产负债表!D9+资产负债表!D17,2)</f>
        <v>0</v>
      </c>
      <c r="E20" s="14">
        <f>ROUND(资产负债表!E7+资产负债表!E8+资产负债表!E10+资产负债表!E11+资产负债表!E12+资产负债表!E13+资产负债表!E14+资产负债表!E15+资产负债表!E16+资产负债表!E18+资产负债表!E19+资产负债表!E9+资产负债表!E17,2)</f>
        <v>0</v>
      </c>
      <c r="F20" s="13" t="s">
        <v>40</v>
      </c>
      <c r="G20" s="9">
        <v>48</v>
      </c>
      <c r="H20" s="14">
        <f>ROUND(资产负债表!H7+资产负债表!H8+资产负债表!H10+资产负债表!H11+资产负债表!H12+资产负债表!H13+资产负债表!H14+资产负债表!H15+资产负债表!H16+资产负债表!H18+资产负债表!H19+资产负债表!H9+资产负债表!H17,2)</f>
        <v>0</v>
      </c>
      <c r="I20" s="28">
        <f>ROUND(资产负债表!I7+资产负债表!I8+资产负债表!I10+资产负债表!I11+资产负债表!I12+资产负债表!I13+资产负债表!I14+资产负债表!I15+资产负债表!I16+资产负债表!I18+资产负债表!I19+资产负债表!I9+资产负债表!I17,2)</f>
        <v>0</v>
      </c>
      <c r="J20" s="1"/>
    </row>
    <row r="21" spans="1:10" ht="28" customHeight="1">
      <c r="A21" s="1"/>
      <c r="B21" s="7" t="s">
        <v>41</v>
      </c>
      <c r="C21" s="8"/>
      <c r="D21" s="15"/>
      <c r="E21" s="15"/>
      <c r="F21" s="10" t="s">
        <v>42</v>
      </c>
      <c r="G21" s="10"/>
      <c r="H21" s="15"/>
      <c r="I21" s="29"/>
      <c r="J21" s="1"/>
    </row>
    <row r="22" spans="1:10" ht="28" customHeight="1">
      <c r="A22" s="1"/>
      <c r="B22" s="11" t="s">
        <v>43</v>
      </c>
      <c r="C22" s="3">
        <v>15</v>
      </c>
      <c r="D22" s="12">
        <v>0</v>
      </c>
      <c r="E22" s="12">
        <v>0</v>
      </c>
      <c r="F22" s="13" t="s">
        <v>44</v>
      </c>
      <c r="G22" s="9">
        <v>49</v>
      </c>
      <c r="H22" s="12">
        <v>0</v>
      </c>
      <c r="I22" s="27">
        <v>0</v>
      </c>
      <c r="J22" s="1"/>
    </row>
    <row r="23" spans="1:10" ht="28" customHeight="1">
      <c r="A23" s="1"/>
      <c r="B23" s="11" t="s">
        <v>45</v>
      </c>
      <c r="C23" s="3">
        <v>16</v>
      </c>
      <c r="D23" s="12">
        <v>0</v>
      </c>
      <c r="E23" s="12">
        <v>0</v>
      </c>
      <c r="F23" s="13" t="s">
        <v>46</v>
      </c>
      <c r="G23" s="9">
        <v>50</v>
      </c>
      <c r="H23" s="12">
        <v>0</v>
      </c>
      <c r="I23" s="27">
        <v>0</v>
      </c>
      <c r="J23" s="1"/>
    </row>
    <row r="24" spans="1:10" ht="28" customHeight="1">
      <c r="A24" s="1"/>
      <c r="B24" s="11" t="s">
        <v>47</v>
      </c>
      <c r="C24" s="3">
        <v>17</v>
      </c>
      <c r="D24" s="12">
        <v>0</v>
      </c>
      <c r="E24" s="12">
        <v>0</v>
      </c>
      <c r="F24" s="13" t="s">
        <v>48</v>
      </c>
      <c r="G24" s="9">
        <v>51</v>
      </c>
      <c r="H24" s="12">
        <v>0</v>
      </c>
      <c r="I24" s="27">
        <v>0</v>
      </c>
      <c r="J24" s="1"/>
    </row>
    <row r="25" spans="1:10" ht="28" customHeight="1">
      <c r="A25" s="1"/>
      <c r="B25" s="11" t="s">
        <v>49</v>
      </c>
      <c r="C25" s="3">
        <v>18</v>
      </c>
      <c r="D25" s="12">
        <v>0</v>
      </c>
      <c r="E25" s="12">
        <v>0</v>
      </c>
      <c r="F25" s="13" t="s">
        <v>50</v>
      </c>
      <c r="G25" s="9">
        <v>52</v>
      </c>
      <c r="H25" s="12">
        <v>0</v>
      </c>
      <c r="I25" s="27">
        <v>0</v>
      </c>
      <c r="J25" s="1"/>
    </row>
    <row r="26" spans="1:10" ht="28" customHeight="1">
      <c r="A26" s="1"/>
      <c r="B26" s="11" t="s">
        <v>51</v>
      </c>
      <c r="C26" s="3">
        <v>19</v>
      </c>
      <c r="D26" s="12">
        <v>0</v>
      </c>
      <c r="E26" s="12">
        <v>0</v>
      </c>
      <c r="F26" s="13" t="s">
        <v>52</v>
      </c>
      <c r="G26" s="9">
        <v>53</v>
      </c>
      <c r="H26" s="12">
        <v>0</v>
      </c>
      <c r="I26" s="27">
        <v>0</v>
      </c>
      <c r="J26" s="1"/>
    </row>
    <row r="27" spans="1:10" ht="28" customHeight="1">
      <c r="A27" s="1"/>
      <c r="B27" s="11" t="s">
        <v>53</v>
      </c>
      <c r="C27" s="3">
        <v>20</v>
      </c>
      <c r="D27" s="12">
        <v>0</v>
      </c>
      <c r="E27" s="12">
        <v>0</v>
      </c>
      <c r="F27" s="13" t="s">
        <v>54</v>
      </c>
      <c r="G27" s="9">
        <v>54</v>
      </c>
      <c r="H27" s="12">
        <v>0</v>
      </c>
      <c r="I27" s="27">
        <v>0</v>
      </c>
      <c r="J27" s="1"/>
    </row>
    <row r="28" spans="1:10" ht="28" customHeight="1">
      <c r="A28" s="1"/>
      <c r="B28" s="11" t="s">
        <v>55</v>
      </c>
      <c r="C28" s="3">
        <v>21</v>
      </c>
      <c r="D28" s="12">
        <v>0</v>
      </c>
      <c r="E28" s="12">
        <v>0</v>
      </c>
      <c r="F28" s="13" t="s">
        <v>56</v>
      </c>
      <c r="G28" s="9">
        <v>55</v>
      </c>
      <c r="H28" s="12">
        <v>0</v>
      </c>
      <c r="I28" s="27">
        <v>0</v>
      </c>
      <c r="J28" s="1"/>
    </row>
    <row r="29" spans="1:10" ht="28" customHeight="1">
      <c r="A29" s="1"/>
      <c r="B29" s="11" t="s">
        <v>57</v>
      </c>
      <c r="C29" s="3">
        <v>22</v>
      </c>
      <c r="D29" s="12">
        <v>0</v>
      </c>
      <c r="E29" s="12">
        <v>0</v>
      </c>
      <c r="F29" s="13" t="s">
        <v>58</v>
      </c>
      <c r="G29" s="9">
        <v>56</v>
      </c>
      <c r="H29" s="12">
        <v>0</v>
      </c>
      <c r="I29" s="27">
        <v>0</v>
      </c>
      <c r="J29" s="1"/>
    </row>
    <row r="30" spans="1:10" ht="28" customHeight="1">
      <c r="A30" s="1"/>
      <c r="B30" s="11" t="s">
        <v>59</v>
      </c>
      <c r="C30" s="3">
        <v>23</v>
      </c>
      <c r="D30" s="12">
        <v>0</v>
      </c>
      <c r="E30" s="12">
        <v>0</v>
      </c>
      <c r="F30" s="13" t="s">
        <v>60</v>
      </c>
      <c r="G30" s="9">
        <v>57</v>
      </c>
      <c r="H30" s="12">
        <v>0</v>
      </c>
      <c r="I30" s="27">
        <v>0</v>
      </c>
      <c r="J30" s="1"/>
    </row>
    <row r="31" spans="1:10" ht="28" customHeight="1">
      <c r="A31" s="1"/>
      <c r="B31" s="11" t="s">
        <v>61</v>
      </c>
      <c r="C31" s="3">
        <v>24</v>
      </c>
      <c r="D31" s="12">
        <v>0</v>
      </c>
      <c r="E31" s="12">
        <v>0</v>
      </c>
      <c r="F31" s="13" t="s">
        <v>62</v>
      </c>
      <c r="G31" s="9">
        <v>58</v>
      </c>
      <c r="H31" s="12">
        <v>0</v>
      </c>
      <c r="I31" s="27">
        <v>0</v>
      </c>
      <c r="J31" s="1"/>
    </row>
    <row r="32" spans="1:10" ht="28" customHeight="1">
      <c r="A32" s="1"/>
      <c r="B32" s="11" t="s">
        <v>63</v>
      </c>
      <c r="C32" s="3">
        <v>25</v>
      </c>
      <c r="D32" s="12">
        <v>0</v>
      </c>
      <c r="E32" s="12">
        <v>0</v>
      </c>
      <c r="F32" s="13" t="s">
        <v>64</v>
      </c>
      <c r="G32" s="9">
        <v>59</v>
      </c>
      <c r="H32" s="14">
        <f>ROUND(资产负债表!H22+资产负债表!H23+资产负债表!H26+资产负债表!H27+资产负债表!H28+资产负债表!H29+资产负债表!H30+资产负债表!H31,2)</f>
        <v>0</v>
      </c>
      <c r="I32" s="28">
        <f>ROUND(资产负债表!I22+资产负债表!I23+资产负债表!I26+资产负债表!I27+资产负债表!I28+资产负债表!I29+资产负债表!I30+资产负债表!I31,2)</f>
        <v>0</v>
      </c>
      <c r="J32" s="1"/>
    </row>
    <row r="33" spans="1:10" ht="28" customHeight="1">
      <c r="A33" s="1"/>
      <c r="B33" s="11" t="s">
        <v>65</v>
      </c>
      <c r="C33" s="3">
        <v>26</v>
      </c>
      <c r="D33" s="12">
        <v>0</v>
      </c>
      <c r="E33" s="12">
        <v>0</v>
      </c>
      <c r="F33" s="13" t="s">
        <v>66</v>
      </c>
      <c r="G33" s="9">
        <v>60</v>
      </c>
      <c r="H33" s="14">
        <f>ROUND(资产负债表!H20+资产负债表!H32,2)</f>
        <v>0</v>
      </c>
      <c r="I33" s="28">
        <f>ROUND(资产负债表!I20+资产负债表!I32,2)</f>
        <v>0</v>
      </c>
      <c r="J33" s="1"/>
    </row>
    <row r="34" spans="1:10" ht="28" customHeight="1">
      <c r="A34" s="1"/>
      <c r="B34" s="11" t="s">
        <v>67</v>
      </c>
      <c r="C34" s="3">
        <v>27</v>
      </c>
      <c r="D34" s="12">
        <v>0</v>
      </c>
      <c r="E34" s="12">
        <v>0</v>
      </c>
      <c r="F34" s="10" t="s">
        <v>68</v>
      </c>
      <c r="G34" s="10"/>
      <c r="H34" s="15"/>
      <c r="I34" s="29"/>
      <c r="J34" s="1"/>
    </row>
    <row r="35" spans="1:10" ht="28" customHeight="1">
      <c r="A35" s="1"/>
      <c r="B35" s="11" t="s">
        <v>69</v>
      </c>
      <c r="C35" s="3">
        <v>28</v>
      </c>
      <c r="D35" s="12">
        <v>0</v>
      </c>
      <c r="E35" s="12">
        <v>0</v>
      </c>
      <c r="F35" s="13" t="s">
        <v>70</v>
      </c>
      <c r="G35" s="9">
        <v>61</v>
      </c>
      <c r="H35" s="12">
        <v>0</v>
      </c>
      <c r="I35" s="27">
        <v>0</v>
      </c>
      <c r="J35" s="1"/>
    </row>
    <row r="36" spans="1:10" ht="28" customHeight="1">
      <c r="A36" s="1"/>
      <c r="B36" s="11" t="s">
        <v>71</v>
      </c>
      <c r="C36" s="3">
        <v>29</v>
      </c>
      <c r="D36" s="12">
        <v>0</v>
      </c>
      <c r="E36" s="12">
        <v>0</v>
      </c>
      <c r="F36" s="13" t="s">
        <v>72</v>
      </c>
      <c r="G36" s="9">
        <v>62</v>
      </c>
      <c r="H36" s="12">
        <v>0</v>
      </c>
      <c r="I36" s="27">
        <v>0</v>
      </c>
      <c r="J36" s="1"/>
    </row>
    <row r="37" spans="1:10" ht="28" customHeight="1">
      <c r="A37" s="1"/>
      <c r="B37" s="11" t="s">
        <v>73</v>
      </c>
      <c r="C37" s="3">
        <v>30</v>
      </c>
      <c r="D37" s="12">
        <v>0</v>
      </c>
      <c r="E37" s="12">
        <v>0</v>
      </c>
      <c r="F37" s="13" t="s">
        <v>48</v>
      </c>
      <c r="G37" s="9">
        <v>63</v>
      </c>
      <c r="H37" s="12">
        <v>0</v>
      </c>
      <c r="I37" s="27">
        <v>0</v>
      </c>
      <c r="J37" s="1"/>
    </row>
    <row r="38" spans="1:10" ht="28" customHeight="1">
      <c r="A38" s="1"/>
      <c r="B38" s="11" t="s">
        <v>74</v>
      </c>
      <c r="C38" s="3">
        <v>31</v>
      </c>
      <c r="D38" s="12">
        <v>0</v>
      </c>
      <c r="E38" s="12">
        <v>0</v>
      </c>
      <c r="F38" s="13" t="s">
        <v>50</v>
      </c>
      <c r="G38" s="9">
        <v>64</v>
      </c>
      <c r="H38" s="12">
        <v>0</v>
      </c>
      <c r="I38" s="27">
        <v>0</v>
      </c>
      <c r="J38" s="1"/>
    </row>
    <row r="39" spans="1:10" ht="28" customHeight="1">
      <c r="A39" s="1"/>
      <c r="B39" s="11" t="s">
        <v>75</v>
      </c>
      <c r="C39" s="3">
        <v>32</v>
      </c>
      <c r="D39" s="12">
        <v>0</v>
      </c>
      <c r="E39" s="12">
        <v>0</v>
      </c>
      <c r="F39" s="13" t="s">
        <v>76</v>
      </c>
      <c r="G39" s="9">
        <v>65</v>
      </c>
      <c r="H39" s="12">
        <v>0</v>
      </c>
      <c r="I39" s="27">
        <v>0</v>
      </c>
      <c r="J39" s="1"/>
    </row>
    <row r="40" spans="1:10" ht="28" customHeight="1">
      <c r="A40" s="1"/>
      <c r="B40" s="11" t="s">
        <v>77</v>
      </c>
      <c r="C40" s="3">
        <v>33</v>
      </c>
      <c r="D40" s="14">
        <f>ROUND(D22+D23+D24+D25+D26+D27+D28+D29+D30+D31+D32+D33+D34+D35+D36+D37+D38+D39,2)</f>
        <v>0</v>
      </c>
      <c r="E40" s="14">
        <f>ROUND(E22+E23+E24+E25+E26+E27+E28+E29+E30+E31+E32+E33+E34+E35+E36+E37+E38+E39,2)</f>
        <v>0</v>
      </c>
      <c r="F40" s="13" t="s">
        <v>78</v>
      </c>
      <c r="G40" s="9">
        <v>66</v>
      </c>
      <c r="H40" s="12">
        <v>0</v>
      </c>
      <c r="I40" s="27">
        <v>0</v>
      </c>
      <c r="J40" s="1"/>
    </row>
    <row r="41" spans="1:10" ht="28" customHeight="1">
      <c r="A41" s="1"/>
      <c r="B41" s="11"/>
      <c r="C41" s="16"/>
      <c r="D41" s="14"/>
      <c r="E41" s="14"/>
      <c r="F41" s="13" t="s">
        <v>79</v>
      </c>
      <c r="G41" s="9">
        <v>67</v>
      </c>
      <c r="H41" s="12">
        <v>0</v>
      </c>
      <c r="I41" s="27">
        <v>0</v>
      </c>
      <c r="J41" s="1"/>
    </row>
    <row r="42" spans="1:10" ht="28" customHeight="1">
      <c r="A42" s="1"/>
      <c r="B42" s="11"/>
      <c r="C42" s="16"/>
      <c r="D42" s="14"/>
      <c r="E42" s="14"/>
      <c r="F42" s="13" t="s">
        <v>80</v>
      </c>
      <c r="G42" s="9">
        <v>68</v>
      </c>
      <c r="H42" s="12">
        <v>0</v>
      </c>
      <c r="I42" s="27">
        <v>0</v>
      </c>
      <c r="J42" s="1"/>
    </row>
    <row r="43" spans="1:10" ht="28" customHeight="1">
      <c r="A43" s="1"/>
      <c r="B43" s="11"/>
      <c r="C43" s="16"/>
      <c r="D43" s="14"/>
      <c r="E43" s="14"/>
      <c r="F43" s="17" t="s">
        <v>81</v>
      </c>
      <c r="G43" s="9">
        <v>69</v>
      </c>
      <c r="H43" s="12">
        <v>0</v>
      </c>
      <c r="I43" s="27">
        <v>0</v>
      </c>
      <c r="J43" s="1"/>
    </row>
    <row r="44" spans="1:10" ht="28" customHeight="1">
      <c r="A44" s="1"/>
      <c r="B44" s="11"/>
      <c r="C44" s="16"/>
      <c r="D44" s="14"/>
      <c r="E44" s="14"/>
      <c r="F44" s="13" t="s">
        <v>82</v>
      </c>
      <c r="G44" s="9">
        <v>70</v>
      </c>
      <c r="H44" s="12">
        <v>0</v>
      </c>
      <c r="I44" s="27">
        <v>0</v>
      </c>
      <c r="J44" s="1"/>
    </row>
    <row r="45" spans="1:10" ht="28" customHeight="1">
      <c r="A45" s="1"/>
      <c r="B45" s="11"/>
      <c r="C45" s="16"/>
      <c r="D45" s="14"/>
      <c r="E45" s="14"/>
      <c r="F45" s="13" t="s">
        <v>83</v>
      </c>
      <c r="G45" s="9">
        <v>71</v>
      </c>
      <c r="H45" s="14">
        <f>ROUND(H35+H36+H39-H40+H41+H42+H43+H44,2)</f>
        <v>0</v>
      </c>
      <c r="I45" s="28">
        <f>ROUND(I35+I36+I39-I40+I41+I42+I43+I44,2)</f>
        <v>0</v>
      </c>
      <c r="J45" s="1"/>
    </row>
    <row r="46" spans="1:10" ht="28" customHeight="1">
      <c r="A46" s="1"/>
      <c r="B46" s="18" t="s">
        <v>84</v>
      </c>
      <c r="C46" s="19">
        <v>34</v>
      </c>
      <c r="D46" s="20">
        <f>ROUND(D20+D40,2)</f>
        <v>0</v>
      </c>
      <c r="E46" s="20">
        <f>ROUND(E20+E40,2)</f>
        <v>0</v>
      </c>
      <c r="F46" s="21" t="s">
        <v>85</v>
      </c>
      <c r="G46" s="22">
        <v>72</v>
      </c>
      <c r="H46" s="20">
        <f>ROUND(资产负债表!H33+资产负债表!H45,2)</f>
        <v>0</v>
      </c>
      <c r="I46" s="30">
        <f>ROUND(资产负债表!I33+资产负债表!I45,2)</f>
        <v>0</v>
      </c>
      <c r="J46" s="1"/>
    </row>
    <row r="47" spans="1:10" ht="14.25" customHeight="1">
      <c r="F47" s="23"/>
      <c r="G47" s="23"/>
      <c r="H47" s="23"/>
      <c r="I47" s="23"/>
    </row>
  </sheetData>
  <sheetProtection password="EF5C" sheet="1" objects="1" selectLockedCells="1"/>
  <mergeCells count="9">
    <mergeCell ref="B4:C4"/>
    <mergeCell ref="D4:E4"/>
    <mergeCell ref="F4:G4"/>
    <mergeCell ref="H4:I4"/>
    <mergeCell ref="B1:I1"/>
    <mergeCell ref="B3:C3"/>
    <mergeCell ref="D3:E3"/>
    <mergeCell ref="F3:G3"/>
    <mergeCell ref="H3:I3"/>
  </mergeCells>
  <dataValidations count="12">
    <dataValidation type="date" allowBlank="1" showInputMessage="1" showErrorMessage="1" error="请输入正确的日期格式数据！格式为：xxxx-xx-xx" sqref="D4:E4" xr:uid="{FA7C1619-9445-4C1A-92E9-662056D0EE30}">
      <formula1>1</formula1>
      <formula2>2958435</formula2>
    </dataValidation>
    <dataValidation type="date" allowBlank="1" showInputMessage="1" showErrorMessage="1" error="请输入正确的日期格式数据！格式为：xxxx-xx-xx" sqref="H4:I4" xr:uid="{F0184582-7953-49E0-B9CB-AA65F4E08D0B}">
      <formula1>31</formula1>
      <formula2>2958465</formula2>
    </dataValidation>
    <dataValidation type="decimal" showInputMessage="1" showErrorMessage="1" error="不能为空，默认赋值0.00" sqref="H22:I22 H35:I35 D7:E19 H7:I19 H39:I44 D22:E39 H26:I31" xr:uid="{742294E9-2FC9-4D84-AE65-F4DDD4FE3718}">
      <formula1>-9999999999999</formula1>
      <formula2>99999999999999</formula2>
    </dataValidation>
    <dataValidation type="decimal" errorStyle="warning" operator="greaterThanOrEqual" showInputMessage="1" showErrorMessage="1" errorTitle="本项填报异常：" error="默认本项（期末余额或年初余额）=（其中：优先股）+永续债，本项值应大于或等于优先股+永续债的和！请核实！" promptTitle="本项填报提示：" prompt="默认本项（期末余额或上年年末余额）=（其中：优先股）+永续债，需手动录入值。若纳税人公司发行的债券不是优先股，也不是永续债，为普通债券等其他科目；本项值（期末余额或上年年末余额）应大于或等于优先股+永续债的和。" sqref="H23:I23 H36:I36" xr:uid="{507C2E88-23B2-4C12-A65E-976145812F23}">
      <formula1>H24+H25</formula1>
    </dataValidation>
    <dataValidation type="decimal" errorStyle="warning" operator="lessThanOrEqual" showInputMessage="1" showErrorMessage="1" errorTitle="本项填报异常：" error="应付债券（期末余额或年初余额）值应大于或等于优先股+永续债的和！请核实！" promptTitle="本项填报提示：" prompt="本项值应小于或等于应付债券期末余额。" sqref="H24" xr:uid="{792522B3-05CA-44AF-B668-9D7902126B0E}">
      <formula1>H23-H25</formula1>
    </dataValidation>
    <dataValidation type="decimal" errorStyle="warning" operator="lessThanOrEqual" showInputMessage="1" showErrorMessage="1" errorTitle="本项填报异常：" error="应付债券（期末余额或年初余额）值应大于或等于优先股+永续债的和！请核实！" promptTitle="本项填报提示：" prompt="本项值应小于或等于应付债券上年年末余额。" sqref="I24" xr:uid="{4E07A24C-A362-4BDF-8CB6-07E26B9D5C32}">
      <formula1>I23-I25</formula1>
    </dataValidation>
    <dataValidation type="decimal" errorStyle="warning" operator="lessThanOrEqual" showInputMessage="1" showErrorMessage="1" errorTitle="本项填报异常：" error="应付债券（期末余额或年初余额）值应大于或等于优先股+永续债的和！请核实！" promptTitle="本项填报提示：" prompt="本项值应小于或等于应付债券期末余额。" sqref="H25" xr:uid="{971476C4-535E-446D-BE83-09FCC404C408}">
      <formula1>H23-H24</formula1>
    </dataValidation>
    <dataValidation type="decimal" errorStyle="warning" operator="lessThanOrEqual" showInputMessage="1" showErrorMessage="1" errorTitle="本项填报异常：" error="应付债券（期末余额或年初余额）值应大于或等于优先股+永续债的和！请核实！" promptTitle="本项填报提示：" prompt="本项值应小于或等于应付债券上年年末余额。" sqref="I25" xr:uid="{287E7233-D99C-4064-99F2-63B9CE54D3DA}">
      <formula1>I23-I24</formula1>
    </dataValidation>
    <dataValidation type="decimal" errorStyle="warning" operator="lessThanOrEqual" showInputMessage="1" showErrorMessage="1" errorTitle="本项填报异常：" error="其他权益工具（期末余额或年初余额）值应大于或等于优先股+永续债的和！请核实！" promptTitle="本项填报提示：" prompt="本项值应小于或等于其他权益工具期末余额。" sqref="H37" xr:uid="{104EA478-2A52-4777-94CB-B902BFC94265}">
      <formula1>H36-H38</formula1>
    </dataValidation>
    <dataValidation type="decimal" errorStyle="warning" operator="lessThanOrEqual" showInputMessage="1" showErrorMessage="1" errorTitle="本项填报异常：" error="其他权益工具（期末余额或年初余额）值应大于或等于优先股+永续债的和！请核实！" promptTitle="本项填报提示：" prompt="本项值应小于或等于其他权益工具上年年末余额。" sqref="I37" xr:uid="{9303D7BD-8792-4278-BB7F-78D65086F6AB}">
      <formula1>I36-I38</formula1>
    </dataValidation>
    <dataValidation type="decimal" errorStyle="warning" operator="lessThanOrEqual" showInputMessage="1" showErrorMessage="1" errorTitle="本项填报异常：" error="其他权益工具（期末余额或年初余额）值应大于或等于优先股+永续债的和！请核实！" promptTitle="本项填报提示：" prompt="本项值应小于或等于其他权益工具期末余额。" sqref="H38" xr:uid="{B1098E57-FD88-4455-B835-5EE0A3BBF606}">
      <formula1>H36-H37</formula1>
    </dataValidation>
    <dataValidation type="decimal" errorStyle="warning" operator="lessThanOrEqual" showInputMessage="1" showErrorMessage="1" errorTitle="本项填报异常：" error="其他权益工具（期末余额或年初余额）值应大于或等于优先股+永续债的和！请核实！" promptTitle="本项填报提示：" prompt="本项值应小于或等于其他权益工具上年年末余额。" sqref="I38" xr:uid="{FF03AC30-3333-40FC-B7FA-13969845AC45}">
      <formula1>I36-I37</formula1>
    </dataValidation>
  </dataValidations>
  <pageMargins left="0.9" right="0.9" top="0.98" bottom="0.98" header="0.51" footer="0.51"/>
  <pageSetup paperSize="9" orientation="portrait" errors="blank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B16B-4844-4C0B-A0F9-C5A0CBC0C3AE}">
  <dimension ref="A1"/>
  <sheetViews>
    <sheetView zoomScaleSheetLayoutView="100" workbookViewId="0">
      <selection activeCell="J21" sqref="J21"/>
    </sheetView>
  </sheetViews>
  <sheetFormatPr defaultColWidth="8.7265625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一般企业_已执行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library</cp:lastModifiedBy>
  <cp:revision>1</cp:revision>
  <dcterms:created xsi:type="dcterms:W3CDTF">2014-12-17T08:28:15Z</dcterms:created>
  <dcterms:modified xsi:type="dcterms:W3CDTF">2026-07-28T12:56:44Z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6D68CDF3065E4539B3BD986AB5A7F230</vt:lpwstr>
  </property>
</Properties>
</file>