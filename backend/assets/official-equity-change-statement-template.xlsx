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updateLinks="never"/>
  <mc:AlternateContent xmlns:mc="http://schemas.openxmlformats.org/markup-compatibility/2006">
    <mc:Choice Requires="x15">
      <x15ac:absPath xmlns:x15ac="http://schemas.microsoft.com/office/spreadsheetml/2010/11/ac" url="C:\Users\iefnu\Documents\mvp\"/>
    </mc:Choice>
  </mc:AlternateContent>
  <xr:revisionPtr revIDLastSave="0" documentId="13_ncr:1_{8E59A1CF-FA3A-437C-BCA7-D749434BDBFF}" xr6:coauthVersionLast="47" xr6:coauthVersionMax="47" xr10:uidLastSave="{00000000-0000-0000-0000-000000000000}"/>
  <bookViews>
    <workbookView xWindow="-110" yWindow="-110" windowWidth="25820" windowHeight="15500" xr2:uid="{307C4DAD-960D-47EC-A9FC-71B1814409DE}"/>
  </bookViews>
  <sheets>
    <sheet name="所有者权益变动表" sheetId="4" r:id="rId1"/>
    <sheet name="一般企业_已执行" sheetId="2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E3" i="4"/>
  <c r="H3" i="4"/>
  <c r="J3" i="4"/>
  <c r="M7" i="4"/>
  <c r="X7" i="4"/>
  <c r="M8" i="4"/>
  <c r="X8" i="4"/>
  <c r="M9" i="4"/>
  <c r="X9" i="4"/>
  <c r="M10" i="4"/>
  <c r="X10" i="4"/>
  <c r="C11" i="4"/>
  <c r="D11" i="4"/>
  <c r="E11" i="4"/>
  <c r="F11" i="4"/>
  <c r="G11" i="4"/>
  <c r="H11" i="4"/>
  <c r="I11" i="4"/>
  <c r="J11" i="4"/>
  <c r="J30" i="4" s="1"/>
  <c r="K11" i="4"/>
  <c r="K30" i="4" s="1"/>
  <c r="L11" i="4"/>
  <c r="L30" i="4" s="1"/>
  <c r="M11" i="4"/>
  <c r="N11" i="4"/>
  <c r="X11" i="4" s="1"/>
  <c r="O11" i="4"/>
  <c r="P11" i="4"/>
  <c r="P30" i="4" s="1"/>
  <c r="Q11" i="4"/>
  <c r="Q30" i="4" s="1"/>
  <c r="R11" i="4"/>
  <c r="R30" i="4" s="1"/>
  <c r="S11" i="4"/>
  <c r="T11" i="4"/>
  <c r="U11" i="4"/>
  <c r="V11" i="4"/>
  <c r="W11" i="4"/>
  <c r="K12" i="4"/>
  <c r="L12" i="4"/>
  <c r="M13" i="4"/>
  <c r="X13" i="4"/>
  <c r="C14" i="4"/>
  <c r="M14" i="4" s="1"/>
  <c r="D14" i="4"/>
  <c r="D12" i="4" s="1"/>
  <c r="D30" i="4" s="1"/>
  <c r="E14" i="4"/>
  <c r="F14" i="4"/>
  <c r="G14" i="4"/>
  <c r="H14" i="4"/>
  <c r="I14" i="4"/>
  <c r="J14" i="4"/>
  <c r="K14" i="4"/>
  <c r="L14" i="4"/>
  <c r="N14" i="4"/>
  <c r="N12" i="4" s="1"/>
  <c r="O14" i="4"/>
  <c r="O12" i="4" s="1"/>
  <c r="P14" i="4"/>
  <c r="P12" i="4" s="1"/>
  <c r="Q14" i="4"/>
  <c r="Q12" i="4" s="1"/>
  <c r="R14" i="4"/>
  <c r="R12" i="4" s="1"/>
  <c r="S14" i="4"/>
  <c r="S12" i="4" s="1"/>
  <c r="S30" i="4" s="1"/>
  <c r="T14" i="4"/>
  <c r="T12" i="4" s="1"/>
  <c r="T30" i="4" s="1"/>
  <c r="U14" i="4"/>
  <c r="V14" i="4"/>
  <c r="W14" i="4"/>
  <c r="M15" i="4"/>
  <c r="X15" i="4"/>
  <c r="M16" i="4"/>
  <c r="X16" i="4"/>
  <c r="M17" i="4"/>
  <c r="X17" i="4"/>
  <c r="M18" i="4"/>
  <c r="X18" i="4"/>
  <c r="C19" i="4"/>
  <c r="M19" i="4" s="1"/>
  <c r="D19" i="4"/>
  <c r="E19" i="4"/>
  <c r="E12" i="4" s="1"/>
  <c r="E30" i="4" s="1"/>
  <c r="F19" i="4"/>
  <c r="F12" i="4" s="1"/>
  <c r="F30" i="4" s="1"/>
  <c r="G19" i="4"/>
  <c r="H19" i="4"/>
  <c r="I19" i="4"/>
  <c r="J19" i="4"/>
  <c r="K19" i="4"/>
  <c r="L19" i="4"/>
  <c r="N19" i="4"/>
  <c r="X19" i="4" s="1"/>
  <c r="O19" i="4"/>
  <c r="P19" i="4"/>
  <c r="Q19" i="4"/>
  <c r="R19" i="4"/>
  <c r="S19" i="4"/>
  <c r="T19" i="4"/>
  <c r="U19" i="4"/>
  <c r="U12" i="4" s="1"/>
  <c r="U30" i="4" s="1"/>
  <c r="V19" i="4"/>
  <c r="V12" i="4" s="1"/>
  <c r="V30" i="4" s="1"/>
  <c r="W19" i="4"/>
  <c r="M20" i="4"/>
  <c r="X20" i="4"/>
  <c r="M21" i="4"/>
  <c r="X21" i="4"/>
  <c r="M22" i="4"/>
  <c r="X22" i="4"/>
  <c r="C23" i="4"/>
  <c r="M23" i="4" s="1"/>
  <c r="D23" i="4"/>
  <c r="E23" i="4"/>
  <c r="F23" i="4"/>
  <c r="G23" i="4"/>
  <c r="G12" i="4" s="1"/>
  <c r="G30" i="4" s="1"/>
  <c r="H23" i="4"/>
  <c r="H12" i="4" s="1"/>
  <c r="H30" i="4" s="1"/>
  <c r="I23" i="4"/>
  <c r="I12" i="4" s="1"/>
  <c r="J23" i="4"/>
  <c r="J12" i="4" s="1"/>
  <c r="K23" i="4"/>
  <c r="L23" i="4"/>
  <c r="N23" i="4"/>
  <c r="O23" i="4"/>
  <c r="P23" i="4"/>
  <c r="Q23" i="4"/>
  <c r="R23" i="4"/>
  <c r="S23" i="4"/>
  <c r="T23" i="4"/>
  <c r="U23" i="4"/>
  <c r="V23" i="4"/>
  <c r="W23" i="4"/>
  <c r="W12" i="4" s="1"/>
  <c r="W30" i="4" s="1"/>
  <c r="X23" i="4"/>
  <c r="M24" i="4"/>
  <c r="X24" i="4"/>
  <c r="M25" i="4"/>
  <c r="X25" i="4"/>
  <c r="M26" i="4"/>
  <c r="X26" i="4"/>
  <c r="M27" i="4"/>
  <c r="X27" i="4"/>
  <c r="M28" i="4"/>
  <c r="X28" i="4"/>
  <c r="M29" i="4"/>
  <c r="X29" i="4"/>
  <c r="X12" i="4" l="1"/>
  <c r="O30" i="4"/>
  <c r="I30" i="4"/>
  <c r="C12" i="4"/>
  <c r="N30" i="4"/>
  <c r="X30" i="4" s="1"/>
  <c r="X14" i="4"/>
  <c r="M12" i="4" l="1"/>
  <c r="C30" i="4"/>
  <c r="M30" i="4" s="1"/>
</calcChain>
</file>

<file path=xl/sharedStrings.xml><?xml version="1.0" encoding="utf-8"?>
<sst xmlns="http://schemas.openxmlformats.org/spreadsheetml/2006/main" count="57" uniqueCount="44">
  <si>
    <t>纳税人识别号</t>
  </si>
  <si>
    <t>纳税人名称</t>
  </si>
  <si>
    <t>所属期起</t>
  </si>
  <si>
    <t>所属期止</t>
  </si>
  <si>
    <t>其他权益工具</t>
  </si>
  <si>
    <t>资本公积</t>
  </si>
  <si>
    <t>减：库存股</t>
  </si>
  <si>
    <t>其他综合收益</t>
  </si>
  <si>
    <t>专项储备</t>
  </si>
  <si>
    <t>盈余公积</t>
  </si>
  <si>
    <t>未分配利润</t>
  </si>
  <si>
    <t>项目</t>
  </si>
  <si>
    <t>所有者权益变动表（适用执行企业会计准则的一般企业）</t>
  </si>
  <si>
    <t>会企04表   单位：元</t>
  </si>
  <si>
    <t>本年金额</t>
  </si>
  <si>
    <t>上年金额</t>
  </si>
  <si>
    <t>实收资本(或股本)</t>
  </si>
  <si>
    <t>所有者权益合计</t>
  </si>
  <si>
    <t>优先股</t>
  </si>
  <si>
    <t>永续债</t>
  </si>
  <si>
    <t>其他</t>
  </si>
  <si>
    <t>一、上年年末余额</t>
  </si>
  <si>
    <t>加：会计政策变更</t>
  </si>
  <si>
    <t>前期差错更正</t>
  </si>
  <si>
    <t>二、本年年初余额</t>
  </si>
  <si>
    <t>三、本年增减变动金额（减少以“-”号填列）</t>
  </si>
  <si>
    <t>（一）综合收益总额</t>
  </si>
  <si>
    <t>（二）所有者投入和减少资本</t>
  </si>
  <si>
    <t>1.所有者投入的普通股</t>
  </si>
  <si>
    <t>2.其他权益工具持有者投入资本</t>
  </si>
  <si>
    <t>3.股份支付计入所有者权益的金额</t>
  </si>
  <si>
    <t>4.其他</t>
  </si>
  <si>
    <t>（三）利润分配</t>
  </si>
  <si>
    <t>1.提取盈余公积</t>
  </si>
  <si>
    <t>2.对所有者（或股东）的分配</t>
  </si>
  <si>
    <t>3.其他</t>
  </si>
  <si>
    <t>（四）所有者权益内部结转</t>
  </si>
  <si>
    <t>1.资本公积转增资本(或股本)</t>
  </si>
  <si>
    <t>2.盈余公积转增资本(或股本)</t>
  </si>
  <si>
    <t>3.盈余公积弥补亏损</t>
  </si>
  <si>
    <t>4.设定收益计划变动额结转留存收益</t>
  </si>
  <si>
    <t>5.其他综合收益结转留存收益</t>
  </si>
  <si>
    <t>6.其他</t>
  </si>
  <si>
    <t>四、本年年末余额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</si>
</sst>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0.00_ "/>
  </numFmts>
  <fonts count="19">
    <font>
      <sz val="11"/>
      <name val="宋体"/>
      <charset val="134"/>
    </font>
    <font>
      <sz val="10"/>
      <name val="宋体"/>
      <charset val="134"/>
    </font>
    <font>
      <b/>
      <sz val="14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8"/>
      <color indexed="49"/>
      <name val="宋体"/>
      <charset val="134"/>
    </font>
    <font>
      <b/>
      <sz val="15"/>
      <color indexed="49"/>
      <name val="宋体"/>
      <charset val="134"/>
    </font>
    <font>
      <b/>
      <sz val="13"/>
      <color indexed="49"/>
      <name val="宋体"/>
      <charset val="134"/>
    </font>
    <font>
      <b/>
      <sz val="11"/>
      <color indexed="49"/>
      <name val="宋体"/>
      <charset val="134"/>
    </font>
    <font>
      <sz val="11"/>
      <color indexed="54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</font>
    <font>
      <sz val="11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34">
    <xf numFmtId="0" fontId="0" fillId="0" borderId="0"/>
    <xf numFmtId="0" fontId="16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0" borderId="0"/>
    <xf numFmtId="0" fontId="16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/>
    <xf numFmtId="0" fontId="17" fillId="0" borderId="0"/>
    <xf numFmtId="0" fontId="18" fillId="0" borderId="0"/>
    <xf numFmtId="0" fontId="10" fillId="0" borderId="9" applyNumberFormat="0" applyFill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8" fillId="2" borderId="1" applyNumberFormat="0" applyFont="0" applyAlignment="0" applyProtection="0">
      <alignment vertical="center"/>
    </xf>
  </cellStyleXfs>
  <cellXfs count="34">
    <xf numFmtId="0" fontId="0" fillId="0" borderId="0" xfId="0"/>
    <xf numFmtId="0" fontId="0" fillId="15" borderId="0" xfId="0" applyFill="1"/>
    <xf numFmtId="0" fontId="1" fillId="15" borderId="0" xfId="0" applyFont="1" applyFill="1"/>
    <xf numFmtId="0" fontId="3" fillId="15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horizontal="center" vertical="center" wrapText="1"/>
    </xf>
    <xf numFmtId="164" fontId="3" fillId="8" borderId="12" xfId="0" applyNumberFormat="1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left" vertical="center" wrapText="1"/>
    </xf>
    <xf numFmtId="165" fontId="3" fillId="0" borderId="6" xfId="0" applyNumberFormat="1" applyFont="1" applyBorder="1" applyAlignment="1" applyProtection="1">
      <alignment horizontal="right" vertical="center" wrapText="1"/>
      <protection locked="0"/>
    </xf>
    <xf numFmtId="165" fontId="3" fillId="8" borderId="6" xfId="0" applyNumberFormat="1" applyFont="1" applyFill="1" applyBorder="1" applyAlignment="1">
      <alignment horizontal="right" vertical="center" wrapText="1"/>
    </xf>
    <xf numFmtId="0" fontId="3" fillId="8" borderId="21" xfId="0" applyFont="1" applyFill="1" applyBorder="1" applyAlignment="1">
      <alignment horizontal="left" vertical="center" wrapText="1"/>
    </xf>
    <xf numFmtId="165" fontId="3" fillId="8" borderId="22" xfId="0" applyNumberFormat="1" applyFont="1" applyFill="1" applyBorder="1" applyAlignment="1">
      <alignment horizontal="right" vertical="center" wrapText="1"/>
    </xf>
    <xf numFmtId="0" fontId="3" fillId="15" borderId="10" xfId="0" applyFont="1" applyFill="1" applyBorder="1" applyAlignment="1">
      <alignment horizontal="right" vertical="center" wrapText="1"/>
    </xf>
    <xf numFmtId="165" fontId="3" fillId="8" borderId="25" xfId="0" applyNumberFormat="1" applyFont="1" applyFill="1" applyBorder="1" applyAlignment="1">
      <alignment horizontal="right" vertical="center" wrapText="1"/>
    </xf>
    <xf numFmtId="165" fontId="3" fillId="8" borderId="28" xfId="0" applyNumberFormat="1" applyFont="1" applyFill="1" applyBorder="1" applyAlignment="1">
      <alignment horizontal="right" vertical="center" wrapText="1"/>
    </xf>
    <xf numFmtId="0" fontId="2" fillId="15" borderId="0" xfId="0" applyFont="1" applyFill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left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</cellXfs>
  <cellStyles count="34">
    <cellStyle name="20% - 强调文字颜色 1 2" xfId="1" xr:uid="{5330DE91-E82E-474E-B292-F7099382FD43}"/>
    <cellStyle name="20% - 强调文字颜色 2 2" xfId="11" xr:uid="{631A9385-7B5B-4F9E-9B3D-4C7B459053DE}"/>
    <cellStyle name="20% - 强调文字颜色 4 2" xfId="13" xr:uid="{68F7E4C6-461F-4292-A5E6-A3FE8D7F2E34}"/>
    <cellStyle name="20% - 强调文字颜色 6 2" xfId="14" xr:uid="{41B3DE38-AB6D-4362-BDFB-FD38ADB506C7}"/>
    <cellStyle name="40% - 强调文字颜色 1 2" xfId="5" xr:uid="{BA9EA6A4-6D3F-441F-B690-9B92B615566A}"/>
    <cellStyle name="40% - 强调文字颜色 4 2" xfId="4" xr:uid="{75F3A4D9-DF41-4767-8F77-1487CF009FBB}"/>
    <cellStyle name="40% - 强调文字颜色 5 2" xfId="7" xr:uid="{7F5623FA-CC46-4F61-AD74-622446A0F81A}"/>
    <cellStyle name="40% - 强调文字颜色 6 2" xfId="10" xr:uid="{A861EB9E-6F5B-43CC-91DB-CEE9D367A6B4}"/>
    <cellStyle name="60% - 强调文字颜色 1 2" xfId="16" xr:uid="{DC911AE9-36B7-4624-82BE-7C8CC8947796}"/>
    <cellStyle name="60% - 强调文字颜色 4 2" xfId="8" xr:uid="{9972F207-29C9-40F4-B379-E36C95957B22}"/>
    <cellStyle name="60% - 强调文字颜色 5 2" xfId="2" xr:uid="{CB8975BA-B868-4296-985A-236AF405EF7D}"/>
    <cellStyle name="60% - 强调文字颜色 6 2" xfId="17" xr:uid="{0CB3A40C-B188-45F6-AF19-08479C5A38F9}"/>
    <cellStyle name="常规" xfId="0" builtinId="0"/>
    <cellStyle name="常规 2" xfId="21" xr:uid="{FD90E266-02EF-486A-8DEC-DB29E3DF9D28}"/>
    <cellStyle name="常规 3" xfId="12" xr:uid="{E4F6B9D0-AF4C-4E55-8667-FA71901ECEB5}"/>
    <cellStyle name="常规 4" xfId="22" xr:uid="{8C175204-2A27-4DB2-8E58-0E1478FDB055}"/>
    <cellStyle name="常规 5" xfId="23" xr:uid="{DB49FDB0-2976-4135-8566-896DDBC2720B}"/>
    <cellStyle name="强调文字颜色 1 2" xfId="27" xr:uid="{65C8FF01-8EC3-4600-BA94-77C926D5EFD0}"/>
    <cellStyle name="强调文字颜色 3 2" xfId="28" xr:uid="{27C46E13-CDF3-4416-99E1-0C2D2E485AC4}"/>
    <cellStyle name="强调文字颜色 4 2" xfId="29" xr:uid="{D7DED83F-59EA-42DD-9F18-33741D279046}"/>
    <cellStyle name="强调文字颜色 5 2" xfId="30" xr:uid="{1BCC7C63-1A8E-4739-A18C-EFA19EF0A4FF}"/>
    <cellStyle name="强调文字颜色 6 2" xfId="31" xr:uid="{B89412B7-9247-4E87-BB79-C58DEE70CC66}"/>
    <cellStyle name="标题 1 2" xfId="6" xr:uid="{1A0A7CD4-24A6-43B3-AEFD-27A9C186511E}"/>
    <cellStyle name="标题 2 2" xfId="18" xr:uid="{7D08A020-0818-4E57-A8DE-96E1234ACA43}"/>
    <cellStyle name="标题 3 2" xfId="15" xr:uid="{7E539219-6C39-466D-95AD-5C2EA9CC50B8}"/>
    <cellStyle name="标题 4 2" xfId="19" xr:uid="{366BFCAB-C12C-4C24-AC78-4BC85370FE2D}"/>
    <cellStyle name="标题 5" xfId="20" xr:uid="{D55CA939-CACD-4280-8D2E-3A4F8235326D}"/>
    <cellStyle name="检查单元格 2" xfId="25" xr:uid="{9A825633-06F6-4727-8B75-53B3BBD1F261}"/>
    <cellStyle name="汇总 2" xfId="24" xr:uid="{8FF55E65-B863-48DE-ABCF-879C23C10C28}"/>
    <cellStyle name="注释 2" xfId="33" xr:uid="{E66921D7-B49D-4E63-B6D8-4ECC1C531D0A}"/>
    <cellStyle name="计算 2" xfId="3" xr:uid="{AAFEFC86-DC44-4F61-81BD-DFAF79A2D620}"/>
    <cellStyle name="输入 2" xfId="32" xr:uid="{697D8D14-99AC-4493-ACD5-CDE79506CC1B}"/>
    <cellStyle name="适中 2" xfId="9" xr:uid="{7CBB8EB2-B829-4D11-9858-B4AA8E6BC2C4}"/>
    <cellStyle name="链接单元格 2" xfId="26" xr:uid="{9B40B72D-1CE8-43B0-B4D7-4CA2EF8105E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E0E0"/>
      <rgbColor rgb="00993300"/>
      <rgbColor rgb="00A0A0A0"/>
      <rgbColor rgb="00B4B4B4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9D26-A869-40CD-8912-55A26CEA2F49}">
  <sheetPr>
    <pageSetUpPr autoPageBreaks="0"/>
  </sheetPr>
  <dimension ref="A1:Y31"/>
  <sheetViews>
    <sheetView showGridLines="0" tabSelected="1" workbookViewId="0">
      <selection activeCell="E13" sqref="E13"/>
    </sheetView>
  </sheetViews>
  <sheetFormatPr defaultColWidth="8.7265625" defaultRowHeight="14.25" customHeight="1"/>
  <cols>
    <col min="1" max="1" width="5" customWidth="1"/>
    <col min="2" max="2" width="28.6328125" customWidth="1"/>
    <col min="3" max="3" width="23.1796875" customWidth="1"/>
    <col min="4" max="4" width="22.453125" customWidth="1"/>
    <col min="5" max="5" width="17.90625" customWidth="1"/>
    <col min="6" max="6" width="17.7265625" customWidth="1"/>
    <col min="7" max="7" width="19.453125" customWidth="1"/>
    <col min="8" max="11" width="19.90625" customWidth="1"/>
    <col min="12" max="13" width="20.26953125" customWidth="1"/>
    <col min="14" max="17" width="20.453125" customWidth="1"/>
    <col min="18" max="18" width="19.90625" customWidth="1"/>
    <col min="19" max="21" width="20.26953125" customWidth="1"/>
    <col min="22" max="22" width="19.08984375" customWidth="1"/>
    <col min="23" max="23" width="18.7265625" customWidth="1"/>
    <col min="24" max="24" width="20.26953125" customWidth="1"/>
    <col min="25" max="25" width="5" customWidth="1"/>
  </cols>
  <sheetData>
    <row r="1" spans="1:25" ht="33" customHeight="1">
      <c r="A1" s="1"/>
      <c r="B1" s="17" t="s">
        <v>12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"/>
    </row>
    <row r="2" spans="1:25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8"/>
      <c r="W2" s="28"/>
      <c r="X2" s="14" t="s">
        <v>13</v>
      </c>
      <c r="Y2" s="2"/>
    </row>
    <row r="3" spans="1:25" ht="22.5" customHeight="1">
      <c r="A3" s="1"/>
      <c r="B3" s="4" t="s">
        <v>0</v>
      </c>
      <c r="C3" s="5" t="e">
        <f>IF(#REF!="","",#REF!)</f>
        <v>#REF!</v>
      </c>
      <c r="D3" s="6" t="s">
        <v>1</v>
      </c>
      <c r="E3" s="29" t="e">
        <f>IF(#REF!="","",#REF!)</f>
        <v>#REF!</v>
      </c>
      <c r="F3" s="30"/>
      <c r="G3" s="6" t="s">
        <v>2</v>
      </c>
      <c r="H3" s="7" t="e">
        <f>IF(#REF!="","",#REF!)</f>
        <v>#REF!</v>
      </c>
      <c r="I3" s="6" t="s">
        <v>3</v>
      </c>
      <c r="J3" s="7" t="e">
        <f>IF(#REF!="","",#REF!)</f>
        <v>#REF!</v>
      </c>
      <c r="K3" s="31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1"/>
    </row>
    <row r="4" spans="1:25" ht="22.5" customHeight="1">
      <c r="A4" s="1"/>
      <c r="B4" s="27" t="s">
        <v>11</v>
      </c>
      <c r="C4" s="18" t="s">
        <v>14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 t="s">
        <v>15</v>
      </c>
      <c r="O4" s="18"/>
      <c r="P4" s="18"/>
      <c r="Q4" s="18"/>
      <c r="R4" s="18"/>
      <c r="S4" s="18"/>
      <c r="T4" s="18"/>
      <c r="U4" s="18"/>
      <c r="V4" s="18"/>
      <c r="W4" s="18"/>
      <c r="X4" s="19"/>
      <c r="Y4" s="1"/>
    </row>
    <row r="5" spans="1:25" ht="22.5" customHeight="1">
      <c r="A5" s="1"/>
      <c r="B5" s="27"/>
      <c r="C5" s="20" t="s">
        <v>16</v>
      </c>
      <c r="D5" s="24" t="s">
        <v>4</v>
      </c>
      <c r="E5" s="25"/>
      <c r="F5" s="26"/>
      <c r="G5" s="20" t="s">
        <v>5</v>
      </c>
      <c r="H5" s="20" t="s">
        <v>6</v>
      </c>
      <c r="I5" s="20" t="s">
        <v>7</v>
      </c>
      <c r="J5" s="20" t="s">
        <v>8</v>
      </c>
      <c r="K5" s="20" t="s">
        <v>9</v>
      </c>
      <c r="L5" s="20" t="s">
        <v>10</v>
      </c>
      <c r="M5" s="20" t="s">
        <v>17</v>
      </c>
      <c r="N5" s="20" t="s">
        <v>16</v>
      </c>
      <c r="O5" s="24" t="s">
        <v>4</v>
      </c>
      <c r="P5" s="25"/>
      <c r="Q5" s="26"/>
      <c r="R5" s="20" t="s">
        <v>5</v>
      </c>
      <c r="S5" s="20" t="s">
        <v>6</v>
      </c>
      <c r="T5" s="20" t="s">
        <v>7</v>
      </c>
      <c r="U5" s="20" t="s">
        <v>8</v>
      </c>
      <c r="V5" s="20" t="s">
        <v>9</v>
      </c>
      <c r="W5" s="20" t="s">
        <v>10</v>
      </c>
      <c r="X5" s="22" t="s">
        <v>17</v>
      </c>
      <c r="Y5" s="1"/>
    </row>
    <row r="6" spans="1:25" ht="22.5" customHeight="1">
      <c r="A6" s="1"/>
      <c r="B6" s="27"/>
      <c r="C6" s="21"/>
      <c r="D6" s="8" t="s">
        <v>18</v>
      </c>
      <c r="E6" s="8" t="s">
        <v>19</v>
      </c>
      <c r="F6" s="8" t="s">
        <v>20</v>
      </c>
      <c r="G6" s="21"/>
      <c r="H6" s="21"/>
      <c r="I6" s="21"/>
      <c r="J6" s="21"/>
      <c r="K6" s="21"/>
      <c r="L6" s="21"/>
      <c r="M6" s="21"/>
      <c r="N6" s="21"/>
      <c r="O6" s="8" t="s">
        <v>18</v>
      </c>
      <c r="P6" s="8" t="s">
        <v>19</v>
      </c>
      <c r="Q6" s="8" t="s">
        <v>20</v>
      </c>
      <c r="R6" s="21"/>
      <c r="S6" s="21"/>
      <c r="T6" s="21"/>
      <c r="U6" s="21"/>
      <c r="V6" s="21"/>
      <c r="W6" s="21"/>
      <c r="X6" s="23"/>
      <c r="Y6" s="1"/>
    </row>
    <row r="7" spans="1:25" ht="28" customHeight="1">
      <c r="A7" s="1"/>
      <c r="B7" s="9" t="s">
        <v>21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1">
        <f>ROUND(所有者权益变动表!C7+所有者权益变动表!G7-所有者权益变动表!H7+I7+J7+所有者权益变动表!K7+所有者权益变动表!L7+D7+E7+F7,2)</f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5">
        <f>ROUND(所有者权益变动表!N7+所有者权益变动表!R7-所有者权益变动表!S7+T7+U7+所有者权益变动表!V7+所有者权益变动表!W7+O7+P7+Q7,2)</f>
        <v>0</v>
      </c>
      <c r="Y7" s="1"/>
    </row>
    <row r="8" spans="1:25" ht="28" customHeight="1">
      <c r="A8" s="1"/>
      <c r="B8" s="9" t="s">
        <v>22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1">
        <f>ROUND(所有者权益变动表!C8+所有者权益变动表!G8-所有者权益变动表!H8+I8+J8+所有者权益变动表!K8+所有者权益变动表!L8+D8+E8+F8,2)</f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5">
        <f>ROUND(所有者权益变动表!N8+所有者权益变动表!R8-所有者权益变动表!S8+T8+U8+所有者权益变动表!V8+所有者权益变动表!W8+O8+P8+Q8,2)</f>
        <v>0</v>
      </c>
      <c r="Y8" s="1"/>
    </row>
    <row r="9" spans="1:25" ht="28" customHeight="1">
      <c r="A9" s="1"/>
      <c r="B9" s="9" t="s">
        <v>23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1">
        <f>ROUND(所有者权益变动表!C9+所有者权益变动表!G9-所有者权益变动表!H9+I9+J9+所有者权益变动表!K9+所有者权益变动表!L9+D9+E9+F9,2)</f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5">
        <f>ROUND(所有者权益变动表!N9+所有者权益变动表!R9-所有者权益变动表!S9+T9+U9+所有者权益变动表!V9+所有者权益变动表!W9+O9+P9+Q9,2)</f>
        <v>0</v>
      </c>
      <c r="Y9" s="1"/>
    </row>
    <row r="10" spans="1:25" ht="28" customHeight="1">
      <c r="A10" s="1"/>
      <c r="B10" s="9" t="s">
        <v>20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1">
        <f>ROUND(所有者权益变动表!C10+所有者权益变动表!G10-所有者权益变动表!H10+I10+J10+所有者权益变动表!K10+所有者权益变动表!L10+D10+E10+F10,2)</f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5">
        <f>ROUND(所有者权益变动表!N10+所有者权益变动表!R10-所有者权益变动表!S10+T10+U10+所有者权益变动表!V10+所有者权益变动表!W10+O10+P10+Q10,2)</f>
        <v>0</v>
      </c>
      <c r="Y10" s="1"/>
    </row>
    <row r="11" spans="1:25" ht="28" customHeight="1">
      <c r="A11" s="1"/>
      <c r="B11" s="9" t="s">
        <v>24</v>
      </c>
      <c r="C11" s="11">
        <f>ROUND(C7+C8+C9+C10,2)</f>
        <v>0</v>
      </c>
      <c r="D11" s="11">
        <f t="shared" ref="D11:N11" si="0">ROUND(D7+D8+D9+D10,2)</f>
        <v>0</v>
      </c>
      <c r="E11" s="11">
        <f t="shared" si="0"/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>ROUND(所有者权益变动表!C11+所有者权益变动表!G11-所有者权益变动表!H11+I11+J11+所有者权益变动表!K11+所有者权益变动表!L11+D11+E11+F11,2)</f>
        <v>0</v>
      </c>
      <c r="N11" s="11">
        <f t="shared" si="0"/>
        <v>0</v>
      </c>
      <c r="O11" s="11">
        <f t="shared" ref="O11:W11" si="1">ROUND(O7+O8+O9+O10,2)</f>
        <v>0</v>
      </c>
      <c r="P11" s="11">
        <f t="shared" si="1"/>
        <v>0</v>
      </c>
      <c r="Q11" s="11">
        <f t="shared" si="1"/>
        <v>0</v>
      </c>
      <c r="R11" s="11">
        <f t="shared" si="1"/>
        <v>0</v>
      </c>
      <c r="S11" s="11">
        <f t="shared" si="1"/>
        <v>0</v>
      </c>
      <c r="T11" s="11">
        <f t="shared" si="1"/>
        <v>0</v>
      </c>
      <c r="U11" s="11">
        <f t="shared" si="1"/>
        <v>0</v>
      </c>
      <c r="V11" s="11">
        <f t="shared" si="1"/>
        <v>0</v>
      </c>
      <c r="W11" s="11">
        <f t="shared" si="1"/>
        <v>0</v>
      </c>
      <c r="X11" s="15">
        <f>ROUND(所有者权益变动表!N11+所有者权益变动表!R11-所有者权益变动表!S11+T11+U11+所有者权益变动表!V11+所有者权益变动表!W11+O11+P11+Q11,2)</f>
        <v>0</v>
      </c>
      <c r="Y11" s="1"/>
    </row>
    <row r="12" spans="1:25" ht="28" customHeight="1">
      <c r="A12" s="1"/>
      <c r="B12" s="9" t="s">
        <v>25</v>
      </c>
      <c r="C12" s="11">
        <f>ROUND(C13+C14+C19+C23,2)</f>
        <v>0</v>
      </c>
      <c r="D12" s="11">
        <f t="shared" ref="D12:N12" si="2">ROUND(D13+D14+D19+D23,2)</f>
        <v>0</v>
      </c>
      <c r="E12" s="11">
        <f t="shared" si="2"/>
        <v>0</v>
      </c>
      <c r="F12" s="11">
        <f t="shared" si="2"/>
        <v>0</v>
      </c>
      <c r="G12" s="11">
        <f t="shared" si="2"/>
        <v>0</v>
      </c>
      <c r="H12" s="11">
        <f t="shared" si="2"/>
        <v>0</v>
      </c>
      <c r="I12" s="11">
        <f t="shared" si="2"/>
        <v>0</v>
      </c>
      <c r="J12" s="11">
        <f t="shared" si="2"/>
        <v>0</v>
      </c>
      <c r="K12" s="11">
        <f t="shared" si="2"/>
        <v>0</v>
      </c>
      <c r="L12" s="11">
        <f t="shared" si="2"/>
        <v>0</v>
      </c>
      <c r="M12" s="11">
        <f>ROUND(所有者权益变动表!C12+所有者权益变动表!G12-所有者权益变动表!H12+I12+J12+所有者权益变动表!K12+所有者权益变动表!L12+D12+E12+F12,2)</f>
        <v>0</v>
      </c>
      <c r="N12" s="11">
        <f t="shared" si="2"/>
        <v>0</v>
      </c>
      <c r="O12" s="11">
        <f t="shared" ref="O12:W12" si="3">ROUND(O13+O14+O19+O23,2)</f>
        <v>0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0</v>
      </c>
      <c r="T12" s="11">
        <f t="shared" si="3"/>
        <v>0</v>
      </c>
      <c r="U12" s="11">
        <f t="shared" si="3"/>
        <v>0</v>
      </c>
      <c r="V12" s="11">
        <f t="shared" si="3"/>
        <v>0</v>
      </c>
      <c r="W12" s="11">
        <f t="shared" si="3"/>
        <v>0</v>
      </c>
      <c r="X12" s="15">
        <f>ROUND(所有者权益变动表!N12+所有者权益变动表!R12-所有者权益变动表!S12+T12+U12+所有者权益变动表!V12+所有者权益变动表!W12+O12+P12+Q12,2)</f>
        <v>0</v>
      </c>
      <c r="Y12" s="1"/>
    </row>
    <row r="13" spans="1:25" ht="28" customHeight="1">
      <c r="A13" s="1"/>
      <c r="B13" s="9" t="s">
        <v>26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1">
        <f>ROUND(所有者权益变动表!C13+所有者权益变动表!G13-所有者权益变动表!H13+I13+J13+所有者权益变动表!K13+所有者权益变动表!L13+D13+E13+F13,2)</f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5">
        <f>ROUND(所有者权益变动表!N13+所有者权益变动表!R13-所有者权益变动表!S13+T13+U13+所有者权益变动表!V13+所有者权益变动表!W13+O13+P13+Q13,2)</f>
        <v>0</v>
      </c>
      <c r="Y13" s="1"/>
    </row>
    <row r="14" spans="1:25" ht="28" customHeight="1">
      <c r="A14" s="1"/>
      <c r="B14" s="9" t="s">
        <v>27</v>
      </c>
      <c r="C14" s="11">
        <f>ROUND(所有者权益变动表!C15+所有者权益变动表!C16+所有者权益变动表!C17+所有者权益变动表!C18,2)</f>
        <v>0</v>
      </c>
      <c r="D14" s="11">
        <f>ROUND(所有者权益变动表!D15+所有者权益变动表!D16+所有者权益变动表!D17+所有者权益变动表!D18,2)</f>
        <v>0</v>
      </c>
      <c r="E14" s="11">
        <f>ROUND(所有者权益变动表!E15+所有者权益变动表!E16+所有者权益变动表!E17+所有者权益变动表!E18,2)</f>
        <v>0</v>
      </c>
      <c r="F14" s="11">
        <f>ROUND(所有者权益变动表!F15+所有者权益变动表!F16+所有者权益变动表!F17+所有者权益变动表!F18,2)</f>
        <v>0</v>
      </c>
      <c r="G14" s="11">
        <f>ROUND(所有者权益变动表!G15+所有者权益变动表!G16+所有者权益变动表!G17+所有者权益变动表!G18,2)</f>
        <v>0</v>
      </c>
      <c r="H14" s="11">
        <f>ROUND(所有者权益变动表!H15+所有者权益变动表!H16+所有者权益变动表!H17+所有者权益变动表!H18,2)</f>
        <v>0</v>
      </c>
      <c r="I14" s="11">
        <f>ROUND(所有者权益变动表!I15+所有者权益变动表!I16+所有者权益变动表!I17+所有者权益变动表!I18,2)</f>
        <v>0</v>
      </c>
      <c r="J14" s="11">
        <f>ROUND(所有者权益变动表!J15+所有者权益变动表!J16+所有者权益变动表!J17+所有者权益变动表!J18,2)</f>
        <v>0</v>
      </c>
      <c r="K14" s="11">
        <f>ROUND(所有者权益变动表!K15+所有者权益变动表!K16+所有者权益变动表!K17+所有者权益变动表!K18,2)</f>
        <v>0</v>
      </c>
      <c r="L14" s="11">
        <f>ROUND(所有者权益变动表!L15+所有者权益变动表!L16+所有者权益变动表!L17+所有者权益变动表!L18,2)</f>
        <v>0</v>
      </c>
      <c r="M14" s="11">
        <f>ROUND(所有者权益变动表!C14+所有者权益变动表!G14-所有者权益变动表!H14+I14+J14+所有者权益变动表!K14+所有者权益变动表!L14+D14+E14+F14,2)</f>
        <v>0</v>
      </c>
      <c r="N14" s="11">
        <f>ROUND(所有者权益变动表!N15+所有者权益变动表!N16+所有者权益变动表!N17+所有者权益变动表!N18,2)</f>
        <v>0</v>
      </c>
      <c r="O14" s="11">
        <f>ROUND(所有者权益变动表!O15+所有者权益变动表!O16+所有者权益变动表!O17+所有者权益变动表!O18,2)</f>
        <v>0</v>
      </c>
      <c r="P14" s="11">
        <f>ROUND(所有者权益变动表!P15+所有者权益变动表!P16+所有者权益变动表!P17+所有者权益变动表!P18,2)</f>
        <v>0</v>
      </c>
      <c r="Q14" s="11">
        <f>ROUND(所有者权益变动表!Q15+所有者权益变动表!Q16+所有者权益变动表!Q17+所有者权益变动表!Q18,2)</f>
        <v>0</v>
      </c>
      <c r="R14" s="11">
        <f>ROUND(所有者权益变动表!R15+所有者权益变动表!R16+所有者权益变动表!R17+所有者权益变动表!R18,2)</f>
        <v>0</v>
      </c>
      <c r="S14" s="11">
        <f>ROUND(所有者权益变动表!S15+所有者权益变动表!S16+所有者权益变动表!S17+所有者权益变动表!S18,2)</f>
        <v>0</v>
      </c>
      <c r="T14" s="11">
        <f>ROUND(所有者权益变动表!T15+所有者权益变动表!T16+所有者权益变动表!T17+所有者权益变动表!T18,2)</f>
        <v>0</v>
      </c>
      <c r="U14" s="11">
        <f>ROUND(所有者权益变动表!U15+所有者权益变动表!U16+所有者权益变动表!U17+所有者权益变动表!U18,2)</f>
        <v>0</v>
      </c>
      <c r="V14" s="11">
        <f>ROUND(所有者权益变动表!V15+所有者权益变动表!V16+所有者权益变动表!V17+所有者权益变动表!V18,2)</f>
        <v>0</v>
      </c>
      <c r="W14" s="11">
        <f>ROUND(所有者权益变动表!W15+所有者权益变动表!W16+所有者权益变动表!W17+所有者权益变动表!W18,2)</f>
        <v>0</v>
      </c>
      <c r="X14" s="15">
        <f>ROUND(所有者权益变动表!N14+所有者权益变动表!R14-所有者权益变动表!S14+T14+U14+所有者权益变动表!V14+所有者权益变动表!W14+O14+P14+Q14,2)</f>
        <v>0</v>
      </c>
      <c r="Y14" s="1"/>
    </row>
    <row r="15" spans="1:25" ht="28" customHeight="1">
      <c r="A15" s="1"/>
      <c r="B15" s="9" t="s">
        <v>28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1">
        <f>ROUND(所有者权益变动表!C15+所有者权益变动表!G15-所有者权益变动表!H15+I15+J15+所有者权益变动表!K15+所有者权益变动表!L15+D15+E15+F15,2)</f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5">
        <f>ROUND(所有者权益变动表!N15+所有者权益变动表!R15-所有者权益变动表!S15+T15+U15+所有者权益变动表!V15+所有者权益变动表!W15+O15+P15+Q15,2)</f>
        <v>0</v>
      </c>
      <c r="Y15" s="1"/>
    </row>
    <row r="16" spans="1:25" ht="28" customHeight="1">
      <c r="A16" s="1"/>
      <c r="B16" s="9" t="s">
        <v>29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1">
        <f>ROUND(所有者权益变动表!C16+所有者权益变动表!G16-所有者权益变动表!H16+I16+J16+所有者权益变动表!K16+所有者权益变动表!L16+D16+E16+F16,2)</f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5">
        <f>ROUND(所有者权益变动表!N16+所有者权益变动表!R16-所有者权益变动表!S16+T16+U16+所有者权益变动表!V16+所有者权益变动表!W16+O16+P16+Q16,2)</f>
        <v>0</v>
      </c>
      <c r="Y16" s="1"/>
    </row>
    <row r="17" spans="1:25" ht="28" customHeight="1">
      <c r="A17" s="1"/>
      <c r="B17" s="9" t="s">
        <v>30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1">
        <f>ROUND(所有者权益变动表!C17+所有者权益变动表!G17-所有者权益变动表!H17+I17+J17+所有者权益变动表!K17+所有者权益变动表!L17+D17+E17+F17,2)</f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5">
        <f>ROUND(所有者权益变动表!N17+所有者权益变动表!R17-所有者权益变动表!S17+T17+U17+所有者权益变动表!V17+所有者权益变动表!W17+O17+P17+Q17,2)</f>
        <v>0</v>
      </c>
      <c r="Y17" s="1"/>
    </row>
    <row r="18" spans="1:25" ht="28" customHeight="1">
      <c r="A18" s="1"/>
      <c r="B18" s="9" t="s">
        <v>31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1">
        <f>ROUND(所有者权益变动表!C18+所有者权益变动表!G18-所有者权益变动表!H18+I18+J18+所有者权益变动表!K18+所有者权益变动表!L18+D18+E18+F18,2)</f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5">
        <f>ROUND(所有者权益变动表!N18+所有者权益变动表!R18-所有者权益变动表!S18+T18+U18+所有者权益变动表!V18+所有者权益变动表!W18+O18+P18+Q18,2)</f>
        <v>0</v>
      </c>
      <c r="Y18" s="1"/>
    </row>
    <row r="19" spans="1:25" ht="28" customHeight="1">
      <c r="A19" s="1"/>
      <c r="B19" s="9" t="s">
        <v>32</v>
      </c>
      <c r="C19" s="11">
        <f>ROUND(所有者权益变动表!C20+所有者权益变动表!C21+所有者权益变动表!C22,2)</f>
        <v>0</v>
      </c>
      <c r="D19" s="11">
        <f>ROUND(所有者权益变动表!D20+所有者权益变动表!D21+所有者权益变动表!D22,2)</f>
        <v>0</v>
      </c>
      <c r="E19" s="11">
        <f>ROUND(所有者权益变动表!E20+所有者权益变动表!E21+所有者权益变动表!E22,2)</f>
        <v>0</v>
      </c>
      <c r="F19" s="11">
        <f>ROUND(所有者权益变动表!F20+所有者权益变动表!F21+所有者权益变动表!F22,2)</f>
        <v>0</v>
      </c>
      <c r="G19" s="11">
        <f>ROUND(所有者权益变动表!G20+所有者权益变动表!G21+所有者权益变动表!G22,2)</f>
        <v>0</v>
      </c>
      <c r="H19" s="11">
        <f>ROUND(所有者权益变动表!H20+所有者权益变动表!H21+所有者权益变动表!H22,2)</f>
        <v>0</v>
      </c>
      <c r="I19" s="11">
        <f>ROUND(所有者权益变动表!I20+所有者权益变动表!I21+所有者权益变动表!I22,2)</f>
        <v>0</v>
      </c>
      <c r="J19" s="11">
        <f>ROUND(所有者权益变动表!J20+所有者权益变动表!J21+所有者权益变动表!J22,2)</f>
        <v>0</v>
      </c>
      <c r="K19" s="11">
        <f>ROUND(所有者权益变动表!K20+所有者权益变动表!K21+所有者权益变动表!K22,2)</f>
        <v>0</v>
      </c>
      <c r="L19" s="11">
        <f>ROUND(所有者权益变动表!L20+所有者权益变动表!L21+所有者权益变动表!L22,2)</f>
        <v>0</v>
      </c>
      <c r="M19" s="11">
        <f>ROUND(所有者权益变动表!C19+所有者权益变动表!G19-所有者权益变动表!H19+I19+J19+所有者权益变动表!K19+所有者权益变动表!L19+D19+E19+F19,2)</f>
        <v>0</v>
      </c>
      <c r="N19" s="11">
        <f>ROUND(所有者权益变动表!N20+所有者权益变动表!N21+所有者权益变动表!N22,2)</f>
        <v>0</v>
      </c>
      <c r="O19" s="11">
        <f>ROUND(所有者权益变动表!O20+所有者权益变动表!O21+所有者权益变动表!O22,2)</f>
        <v>0</v>
      </c>
      <c r="P19" s="11">
        <f>ROUND(所有者权益变动表!P20+所有者权益变动表!P21+所有者权益变动表!P22,2)</f>
        <v>0</v>
      </c>
      <c r="Q19" s="11">
        <f>ROUND(所有者权益变动表!Q20+所有者权益变动表!Q21+所有者权益变动表!Q22,2)</f>
        <v>0</v>
      </c>
      <c r="R19" s="11">
        <f>ROUND(所有者权益变动表!R20+所有者权益变动表!R21+所有者权益变动表!R22,2)</f>
        <v>0</v>
      </c>
      <c r="S19" s="11">
        <f>ROUND(所有者权益变动表!S20+所有者权益变动表!S21+所有者权益变动表!S22,2)</f>
        <v>0</v>
      </c>
      <c r="T19" s="11">
        <f>ROUND(所有者权益变动表!T20+所有者权益变动表!T21+所有者权益变动表!T22,2)</f>
        <v>0</v>
      </c>
      <c r="U19" s="11">
        <f>ROUND(所有者权益变动表!U20+所有者权益变动表!U21+所有者权益变动表!U22,2)</f>
        <v>0</v>
      </c>
      <c r="V19" s="11">
        <f>ROUND(所有者权益变动表!V20+所有者权益变动表!V21+所有者权益变动表!V22,2)</f>
        <v>0</v>
      </c>
      <c r="W19" s="11">
        <f>ROUND(所有者权益变动表!W20+所有者权益变动表!W21+所有者权益变动表!W22,2)</f>
        <v>0</v>
      </c>
      <c r="X19" s="15">
        <f>ROUND(所有者权益变动表!N19+所有者权益变动表!R19-所有者权益变动表!S19+T19+U19+所有者权益变动表!V19+所有者权益变动表!W19+O19+P19+Q19,2)</f>
        <v>0</v>
      </c>
      <c r="Y19" s="1"/>
    </row>
    <row r="20" spans="1:25" ht="28" customHeight="1">
      <c r="A20" s="1"/>
      <c r="B20" s="9" t="s">
        <v>33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1">
        <f>ROUND(所有者权益变动表!C20+所有者权益变动表!G20-所有者权益变动表!H20+I20+J20+所有者权益变动表!K20+所有者权益变动表!L20+D20+E20+F20,2)</f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5">
        <f>ROUND(所有者权益变动表!N20+所有者权益变动表!R20-所有者权益变动表!S20+T20+U20+所有者权益变动表!V20+所有者权益变动表!W20+O20+P20+Q20,2)</f>
        <v>0</v>
      </c>
      <c r="Y20" s="1"/>
    </row>
    <row r="21" spans="1:25" ht="28" customHeight="1">
      <c r="A21" s="1"/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1">
        <f>ROUND(所有者权益变动表!C21+所有者权益变动表!G21-所有者权益变动表!H21+I21+J21+所有者权益变动表!K21+所有者权益变动表!L21+D21+E21+F21,2)</f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5">
        <f>ROUND(所有者权益变动表!N21+所有者权益变动表!R21-所有者权益变动表!S21+T21+U21+所有者权益变动表!V21+所有者权益变动表!W21+O21+P21+Q21,2)</f>
        <v>0</v>
      </c>
      <c r="Y21" s="1"/>
    </row>
    <row r="22" spans="1:25" ht="28" customHeight="1">
      <c r="A22" s="1"/>
      <c r="B22" s="9" t="s">
        <v>35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1">
        <f>ROUND(所有者权益变动表!C22+所有者权益变动表!G22-所有者权益变动表!H22+I22+J22+所有者权益变动表!K22+所有者权益变动表!L22+D22+E22+F22,2)</f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5">
        <f>ROUND(所有者权益变动表!N22+所有者权益变动表!R22-所有者权益变动表!S22+T22+U22+所有者权益变动表!V22+所有者权益变动表!W22+O22+P22+Q22,2)</f>
        <v>0</v>
      </c>
      <c r="Y22" s="1"/>
    </row>
    <row r="23" spans="1:25" ht="28" customHeight="1">
      <c r="A23" s="1"/>
      <c r="B23" s="9" t="s">
        <v>36</v>
      </c>
      <c r="C23" s="11">
        <f>ROUND(所有者权益变动表!C24+所有者权益变动表!C25+所有者权益变动表!C26+所有者权益变动表!C27+所有者权益变动表!C28+所有者权益变动表!C29,2)</f>
        <v>0</v>
      </c>
      <c r="D23" s="11">
        <f>ROUND(所有者权益变动表!D24+所有者权益变动表!D25+所有者权益变动表!D26+所有者权益变动表!D27+所有者权益变动表!D28+所有者权益变动表!D29,2)</f>
        <v>0</v>
      </c>
      <c r="E23" s="11">
        <f>ROUND(所有者权益变动表!E24+所有者权益变动表!E25+所有者权益变动表!E26+所有者权益变动表!E27+所有者权益变动表!E28+所有者权益变动表!E29,2)</f>
        <v>0</v>
      </c>
      <c r="F23" s="11">
        <f>ROUND(所有者权益变动表!F24+所有者权益变动表!F25+所有者权益变动表!F26+所有者权益变动表!F27+所有者权益变动表!F28+所有者权益变动表!F29,2)</f>
        <v>0</v>
      </c>
      <c r="G23" s="11">
        <f>ROUND(所有者权益变动表!G24+所有者权益变动表!G25+所有者权益变动表!G26+所有者权益变动表!G27+所有者权益变动表!G28+所有者权益变动表!G29,2)</f>
        <v>0</v>
      </c>
      <c r="H23" s="11">
        <f>ROUND(所有者权益变动表!H24+所有者权益变动表!H25+所有者权益变动表!H26+所有者权益变动表!H27+所有者权益变动表!H28+所有者权益变动表!H29,2)</f>
        <v>0</v>
      </c>
      <c r="I23" s="11">
        <f>ROUND(所有者权益变动表!I24+所有者权益变动表!I25+所有者权益变动表!I26+所有者权益变动表!I27+所有者权益变动表!I28+所有者权益变动表!I29,2)</f>
        <v>0</v>
      </c>
      <c r="J23" s="11">
        <f>ROUND(所有者权益变动表!J24+所有者权益变动表!J25+所有者权益变动表!J26+所有者权益变动表!J27+所有者权益变动表!J28+所有者权益变动表!J29,2)</f>
        <v>0</v>
      </c>
      <c r="K23" s="11">
        <f>ROUND(所有者权益变动表!K24+所有者权益变动表!K25+所有者权益变动表!K26+所有者权益变动表!K27+所有者权益变动表!K28+所有者权益变动表!K29,2)</f>
        <v>0</v>
      </c>
      <c r="L23" s="11">
        <f>ROUND(所有者权益变动表!L24+所有者权益变动表!L25+所有者权益变动表!L26+所有者权益变动表!L27+所有者权益变动表!L28+所有者权益变动表!L29,2)</f>
        <v>0</v>
      </c>
      <c r="M23" s="11">
        <f>ROUND(所有者权益变动表!C23+所有者权益变动表!G23-所有者权益变动表!H23+I23+J23+所有者权益变动表!K23+所有者权益变动表!L23+D23+E23+F23,2)</f>
        <v>0</v>
      </c>
      <c r="N23" s="11">
        <f>ROUND(所有者权益变动表!N24+所有者权益变动表!N25+所有者权益变动表!N26+所有者权益变动表!N27+所有者权益变动表!N28+所有者权益变动表!N29,2)</f>
        <v>0</v>
      </c>
      <c r="O23" s="11">
        <f>ROUND(所有者权益变动表!O24+所有者权益变动表!O25+所有者权益变动表!O26+所有者权益变动表!O27+所有者权益变动表!O28+所有者权益变动表!O29,2)</f>
        <v>0</v>
      </c>
      <c r="P23" s="11">
        <f>ROUND(所有者权益变动表!P24+所有者权益变动表!P25+所有者权益变动表!P26+所有者权益变动表!P27+所有者权益变动表!P28+所有者权益变动表!P29,2)</f>
        <v>0</v>
      </c>
      <c r="Q23" s="11">
        <f>ROUND(所有者权益变动表!Q24+所有者权益变动表!Q25+所有者权益变动表!Q26+所有者权益变动表!Q27+所有者权益变动表!Q28+所有者权益变动表!Q29,2)</f>
        <v>0</v>
      </c>
      <c r="R23" s="11">
        <f>ROUND(所有者权益变动表!R24+所有者权益变动表!R25+所有者权益变动表!R26+所有者权益变动表!R27+所有者权益变动表!R28+所有者权益变动表!R29,2)</f>
        <v>0</v>
      </c>
      <c r="S23" s="11">
        <f>ROUND(所有者权益变动表!S24+所有者权益变动表!S25+所有者权益变动表!S26+所有者权益变动表!S27+所有者权益变动表!S28+所有者权益变动表!S29,2)</f>
        <v>0</v>
      </c>
      <c r="T23" s="11">
        <f>ROUND(所有者权益变动表!T24+所有者权益变动表!T25+所有者权益变动表!T26+所有者权益变动表!T27+所有者权益变动表!T28+所有者权益变动表!T29,2)</f>
        <v>0</v>
      </c>
      <c r="U23" s="11">
        <f>ROUND(所有者权益变动表!U24+所有者权益变动表!U25+所有者权益变动表!U26+所有者权益变动表!U27+所有者权益变动表!U28+所有者权益变动表!U29,2)</f>
        <v>0</v>
      </c>
      <c r="V23" s="11">
        <f>ROUND(所有者权益变动表!V24+所有者权益变动表!V25+所有者权益变动表!V26+所有者权益变动表!V27+所有者权益变动表!V28+所有者权益变动表!V29,2)</f>
        <v>0</v>
      </c>
      <c r="W23" s="11">
        <f>ROUND(所有者权益变动表!W24+所有者权益变动表!W25+所有者权益变动表!W26+所有者权益变动表!W27+所有者权益变动表!W28+所有者权益变动表!W29,2)</f>
        <v>0</v>
      </c>
      <c r="X23" s="15">
        <f>ROUND(所有者权益变动表!N23+所有者权益变动表!R23-所有者权益变动表!S23+T23+U23+所有者权益变动表!V23+所有者权益变动表!W23+O23+P23+Q23,2)</f>
        <v>0</v>
      </c>
      <c r="Y23" s="1"/>
    </row>
    <row r="24" spans="1:25" ht="28" customHeight="1">
      <c r="A24" s="1"/>
      <c r="B24" s="9" t="s">
        <v>37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1">
        <f>ROUND(所有者权益变动表!C24+所有者权益变动表!G24-所有者权益变动表!H24+I24+J24+所有者权益变动表!K24+所有者权益变动表!L24+D24+E24+F24,2)</f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5">
        <f>ROUND(所有者权益变动表!N24+所有者权益变动表!R24-所有者权益变动表!S24+T24+U24+所有者权益变动表!V24+所有者权益变动表!W24+O24+P24+Q24,2)</f>
        <v>0</v>
      </c>
      <c r="Y24" s="1"/>
    </row>
    <row r="25" spans="1:25" ht="28" customHeight="1">
      <c r="A25" s="1"/>
      <c r="B25" s="9" t="s">
        <v>38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1">
        <f>ROUND(所有者权益变动表!C25+所有者权益变动表!G25-所有者权益变动表!H25+I25+J25+所有者权益变动表!K25+所有者权益变动表!L25+D25+E25+F25,2)</f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5">
        <f>ROUND(所有者权益变动表!N25+所有者权益变动表!R25-所有者权益变动表!S25+T25+U25+所有者权益变动表!V25+所有者权益变动表!W25+O25+P25+Q25,2)</f>
        <v>0</v>
      </c>
      <c r="Y25" s="1"/>
    </row>
    <row r="26" spans="1:25" ht="28" customHeight="1">
      <c r="A26" s="1"/>
      <c r="B26" s="9" t="s">
        <v>39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1">
        <f>ROUND(所有者权益变动表!C26+所有者权益变动表!G26-所有者权益变动表!H26+I26+J26+所有者权益变动表!K26+所有者权益变动表!L26+D26+E26+F26,2)</f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5">
        <f>ROUND(所有者权益变动表!N26+所有者权益变动表!R26-所有者权益变动表!S26+T26+U26+所有者权益变动表!V26+所有者权益变动表!W26+O26+P26+Q26,2)</f>
        <v>0</v>
      </c>
      <c r="Y26" s="1"/>
    </row>
    <row r="27" spans="1:25" ht="28" customHeight="1">
      <c r="A27" s="1"/>
      <c r="B27" s="9" t="s">
        <v>40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1">
        <f>ROUND(所有者权益变动表!C27+所有者权益变动表!G27-所有者权益变动表!H27+I27+J27+所有者权益变动表!K27+所有者权益变动表!L27+D27+E27+F27,2)</f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5">
        <f>ROUND(所有者权益变动表!N27+所有者权益变动表!R27-所有者权益变动表!S27+T27+U27+所有者权益变动表!V27+所有者权益变动表!W27+O27+P27+Q27,2)</f>
        <v>0</v>
      </c>
      <c r="Y27" s="1"/>
    </row>
    <row r="28" spans="1:25" ht="28" customHeight="1">
      <c r="A28" s="1"/>
      <c r="B28" s="9" t="s">
        <v>41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1">
        <f>ROUND(所有者权益变动表!C28+所有者权益变动表!G28-所有者权益变动表!H28+I28+J28+所有者权益变动表!K28+所有者权益变动表!L28+D28+E28+F28,2)</f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5">
        <f>ROUND(所有者权益变动表!N28+所有者权益变动表!R28-所有者权益变动表!S28+T28+U28+所有者权益变动表!V28+所有者权益变动表!W28+O28+P28+Q28,2)</f>
        <v>0</v>
      </c>
      <c r="Y28" s="1"/>
    </row>
    <row r="29" spans="1:25" ht="28" customHeight="1">
      <c r="A29" s="1"/>
      <c r="B29" s="9" t="s">
        <v>42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1">
        <f>ROUND(所有者权益变动表!C29+所有者权益变动表!G29-所有者权益变动表!H29+I29+J29+所有者权益变动表!K29+所有者权益变动表!L29+D29+E29+F29,2)</f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5">
        <f>ROUND(所有者权益变动表!N29+所有者权益变动表!R29-所有者权益变动表!S29+T29+U29+所有者权益变动表!V29+所有者权益变动表!W29+O29+P29+Q29,2)</f>
        <v>0</v>
      </c>
      <c r="Y29" s="1"/>
    </row>
    <row r="30" spans="1:25" ht="28" customHeight="1">
      <c r="A30" s="1"/>
      <c r="B30" s="12" t="s">
        <v>43</v>
      </c>
      <c r="C30" s="13">
        <f>ROUND(所有者权益变动表!C11+所有者权益变动表!C12,2)</f>
        <v>0</v>
      </c>
      <c r="D30" s="13">
        <f>ROUND(所有者权益变动表!D11+所有者权益变动表!D12,2)</f>
        <v>0</v>
      </c>
      <c r="E30" s="13">
        <f>ROUND(所有者权益变动表!E11+所有者权益变动表!E12,2)</f>
        <v>0</v>
      </c>
      <c r="F30" s="13">
        <f>ROUND(所有者权益变动表!F11+所有者权益变动表!F12,2)</f>
        <v>0</v>
      </c>
      <c r="G30" s="13">
        <f>ROUND(所有者权益变动表!G11+所有者权益变动表!G12,2)</f>
        <v>0</v>
      </c>
      <c r="H30" s="13">
        <f>ROUND(所有者权益变动表!H11+所有者权益变动表!H12,2)</f>
        <v>0</v>
      </c>
      <c r="I30" s="13">
        <f>ROUND(所有者权益变动表!I11+所有者权益变动表!I12,2)</f>
        <v>0</v>
      </c>
      <c r="J30" s="13">
        <f>ROUND(所有者权益变动表!J11+所有者权益变动表!J12,2)</f>
        <v>0</v>
      </c>
      <c r="K30" s="13">
        <f>ROUND(所有者权益变动表!K11+所有者权益变动表!K12,2)</f>
        <v>0</v>
      </c>
      <c r="L30" s="13">
        <f>ROUND(所有者权益变动表!L11+所有者权益变动表!L12,2)</f>
        <v>0</v>
      </c>
      <c r="M30" s="13">
        <f>ROUND(所有者权益变动表!C30+所有者权益变动表!G30-所有者权益变动表!H30+I30+J30+所有者权益变动表!K30+所有者权益变动表!L30+D30+E30+F30,2)</f>
        <v>0</v>
      </c>
      <c r="N30" s="13">
        <f>ROUND(所有者权益变动表!N11+所有者权益变动表!N12,2)</f>
        <v>0</v>
      </c>
      <c r="O30" s="13">
        <f>ROUND(所有者权益变动表!O11+所有者权益变动表!O12,2)</f>
        <v>0</v>
      </c>
      <c r="P30" s="13">
        <f>ROUND(所有者权益变动表!P11+所有者权益变动表!P12,2)</f>
        <v>0</v>
      </c>
      <c r="Q30" s="13">
        <f>ROUND(所有者权益变动表!Q11+所有者权益变动表!Q12,2)</f>
        <v>0</v>
      </c>
      <c r="R30" s="13">
        <f>ROUND(所有者权益变动表!R11+所有者权益变动表!R12,2)</f>
        <v>0</v>
      </c>
      <c r="S30" s="13">
        <f>ROUND(所有者权益变动表!S11+所有者权益变动表!S12,2)</f>
        <v>0</v>
      </c>
      <c r="T30" s="13">
        <f>ROUND(所有者权益变动表!T11+所有者权益变动表!T12,2)</f>
        <v>0</v>
      </c>
      <c r="U30" s="13">
        <f>ROUND(所有者权益变动表!U11+所有者权益变动表!U12,2)</f>
        <v>0</v>
      </c>
      <c r="V30" s="13">
        <f>ROUND(所有者权益变动表!V11+所有者权益变动表!V12,2)</f>
        <v>0</v>
      </c>
      <c r="W30" s="13">
        <f>ROUND(所有者权益变动表!W11+所有者权益变动表!W12,2)</f>
        <v>0</v>
      </c>
      <c r="X30" s="16">
        <f>ROUND(所有者权益变动表!N30+所有者权益变动表!R30-所有者权益变动表!S30+T30+U30+所有者权益变动表!V30+所有者权益变动表!W30+O30+P30+Q30,2)</f>
        <v>0</v>
      </c>
      <c r="Y30" s="1"/>
    </row>
    <row r="31" spans="1:25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</sheetData>
  <sheetProtection password="EF5C" sheet="1" objects="1" selectLockedCells="1"/>
  <mergeCells count="25">
    <mergeCell ref="B1:X1"/>
    <mergeCell ref="V2:W2"/>
    <mergeCell ref="E3:F3"/>
    <mergeCell ref="K3:X3"/>
    <mergeCell ref="C4:M4"/>
    <mergeCell ref="N4:X4"/>
    <mergeCell ref="D5:F5"/>
    <mergeCell ref="O5:Q5"/>
    <mergeCell ref="B4:B6"/>
    <mergeCell ref="C5:C6"/>
    <mergeCell ref="G5:G6"/>
    <mergeCell ref="H5:H6"/>
    <mergeCell ref="I5:I6"/>
    <mergeCell ref="J5:J6"/>
    <mergeCell ref="K5:K6"/>
    <mergeCell ref="L5:L6"/>
    <mergeCell ref="V5:V6"/>
    <mergeCell ref="W5:W6"/>
    <mergeCell ref="X5:X6"/>
    <mergeCell ref="M5:M6"/>
    <mergeCell ref="N5:N6"/>
    <mergeCell ref="R5:R6"/>
    <mergeCell ref="S5:S6"/>
    <mergeCell ref="T5:T6"/>
    <mergeCell ref="U5:U6"/>
  </mergeCells>
  <dataValidations count="1">
    <dataValidation type="decimal" showInputMessage="1" showErrorMessage="1" error="不能为空，默认赋值0.00" sqref="C13:L13 N13:W13 C20:L22 C7:L10 C15:L18 N20:W22 N7:W10 N15:W18 C24:L29 N24:W29" xr:uid="{5AA58CEF-70E6-446D-A08D-AE82B122F061}">
      <formula1>-9999999999999</formula1>
      <formula2>9999999999999</formula2>
    </dataValidation>
  </dataValidations>
  <pageMargins left="0.9" right="0.9" top="0.98" bottom="0.98" header="0.51" footer="0.51"/>
  <pageSetup paperSize="9" orientation="portrait" errors="blank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B16B-4844-4C0B-A0F9-C5A0CBC0C3AE}">
  <dimension ref="A1"/>
  <sheetViews>
    <sheetView zoomScaleSheetLayoutView="100" workbookViewId="0">
      <selection activeCell="J21" sqref="J21"/>
    </sheetView>
  </sheetViews>
  <sheetFormatPr defaultColWidth="8.7265625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所有者权益变动表</vt:lpstr>
      <vt:lpstr>一般企业_已执行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library</cp:lastModifiedBy>
  <cp:revision>1</cp:revision>
  <dcterms:created xsi:type="dcterms:W3CDTF">2014-12-17T08:28:15Z</dcterms:created>
  <dcterms:modified xsi:type="dcterms:W3CDTF">2026-07-28T12:58:35Z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6D68CDF3065E4539B3BD986AB5A7F230</vt:lpwstr>
  </property>
</Properties>
</file>